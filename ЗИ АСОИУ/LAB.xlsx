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defaultThemeVersion="202300"/>
  <mc:AlternateContent xmlns:mc="http://schemas.openxmlformats.org/markup-compatibility/2006">
    <mc:Choice Requires="x15">
      <x15ac:absPath xmlns:x15ac="http://schemas.microsoft.com/office/spreadsheetml/2010/11/ac" url="D:\第三学期\ЗИ АСОИУ\"/>
    </mc:Choice>
  </mc:AlternateContent>
  <xr:revisionPtr revIDLastSave="0" documentId="13_ncr:1_{E4349DAF-2376-4F44-A15C-1F9E76C3C461}" xr6:coauthVersionLast="47" xr6:coauthVersionMax="47" xr10:uidLastSave="{00000000-0000-0000-0000-000000000000}"/>
  <bookViews>
    <workbookView xWindow="-103" yWindow="-103" windowWidth="24892" windowHeight="14914" tabRatio="400" activeTab="3" xr2:uid="{838D111B-9A6A-41D6-984E-5F0FEB08FBA5}"/>
  </bookViews>
  <sheets>
    <sheet name="Необработанные данные" sheetId="1" r:id="rId1"/>
    <sheet name="LAB1" sheetId="2" r:id="rId2"/>
    <sheet name="LAB2" sheetId="3" r:id="rId3"/>
    <sheet name="LAB4" sheetId="4" r:id="rId4"/>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J25" i="4" l="1"/>
</calcChain>
</file>

<file path=xl/sharedStrings.xml><?xml version="1.0" encoding="utf-8"?>
<sst xmlns="http://schemas.openxmlformats.org/spreadsheetml/2006/main" count="470" uniqueCount="277">
  <si>
    <t>№ п/п</t>
  </si>
  <si>
    <t>Вид</t>
  </si>
  <si>
    <t>Регистрационный номер</t>
  </si>
  <si>
    <t>ОГРН</t>
  </si>
  <si>
    <t>Наименование</t>
  </si>
  <si>
    <t>Организационно-правовая форма</t>
  </si>
  <si>
    <t>Дата регистрации Банком России</t>
  </si>
  <si>
    <t>Статус лицензии</t>
  </si>
  <si>
    <t>Местонахождение</t>
  </si>
  <si>
    <t>ООО "Ориджин Банк"</t>
  </si>
  <si>
    <t>АО "СМБСР Банк"</t>
  </si>
  <si>
    <t>ООО "Пихта Банк"</t>
  </si>
  <si>
    <t>ООО "Джаст Банк"</t>
  </si>
  <si>
    <t>ОАО "АБ "ПУШКИНО"</t>
  </si>
  <si>
    <t>ООО КБ "ДОРИС БАНК"</t>
  </si>
  <si>
    <t>АО КБ "АГРОПРОМКРЕДИТ"</t>
  </si>
  <si>
    <t>ООО "АМТ БАНК"</t>
  </si>
  <si>
    <t>АО АКБ "Алеф-Банк"</t>
  </si>
  <si>
    <t>КБ "ВЕГА-БАНК" (ООО)</t>
  </si>
  <si>
    <t>АКБ "Мосуралбанк" (АО)</t>
  </si>
  <si>
    <t>КБ "БМБ" (ООО)</t>
  </si>
  <si>
    <t>БАНК "МСКБ" (АО)</t>
  </si>
  <si>
    <t>ООО НКО "Мурманский расчетный центр"</t>
  </si>
  <si>
    <t>КБ "Русский ипотечный банк" (ООО)</t>
  </si>
  <si>
    <t>Расчетная НКО</t>
  </si>
  <si>
    <t>Отозванная</t>
  </si>
  <si>
    <t>Действующая</t>
  </si>
  <si>
    <t>105005, г. Москва, улица Бауманская, дом 21</t>
  </si>
  <si>
    <t>125047, г. Москва, ул. Гашека, д. 6</t>
  </si>
  <si>
    <t>123112, г. Москва, Пресненская набережная, д. 10</t>
  </si>
  <si>
    <t>Российская Федерация, 107045, город Москва, вн.тер.г. муниципальный округ Мещанский, улица Трубная, дом 12, помещение 3/1</t>
  </si>
  <si>
    <t>119180, г. Москва, ул. Большая Полянка, д. 54, стр. 1</t>
  </si>
  <si>
    <t>141700, Московская обл., г. Долгопрудный, ул. Первомайская, д. 21</t>
  </si>
  <si>
    <t>141200, Московская область, г. Пушкино, микрорайон Дзержинец, д. 1</t>
  </si>
  <si>
    <t>142110, Московская область, г. Подольск, ул. Кирова, д.19</t>
  </si>
  <si>
    <t>125009, Москва, Георгиевский переулок, д. 1, стр. 1</t>
  </si>
  <si>
    <t>119121, город Москва, улица Бурденко, дом 22.</t>
  </si>
  <si>
    <t>129110, г.Москва, проспект Мира, д. 62, стр.1</t>
  </si>
  <si>
    <t>121467, г. Москва, ул. Молдавская, д. 5</t>
  </si>
  <si>
    <t>105118, г. Москва, проспект Буденного, д. 32 "А"</t>
  </si>
  <si>
    <t>115035, г. Москва, Раушская наб., д. 22, стр. 2</t>
  </si>
  <si>
    <t>142400, Московская область, г.Ногинск, ул.Советская, д.45</t>
  </si>
  <si>
    <t>Российская Федерация, 183038, город Мурманск, улица Челюскинцев, дом 17/24</t>
  </si>
  <si>
    <t>183071, г. Мурманск, ул. Старостина, 21</t>
  </si>
  <si>
    <t>173004  Новгородская обл., г.Великий Новгород, ул.Черемнова-Конюхова, д.12</t>
  </si>
  <si>
    <t>173003 Новгородская обл., г. Великий Новгород, наб. реки Гзень,  д.11</t>
  </si>
  <si>
    <t>119180, г. Москва, ул. Большая Полянка, дом 2, строение 2</t>
  </si>
  <si>
    <t>ООО</t>
  </si>
  <si>
    <t>КБ "МСБ" (ООО)</t>
    <phoneticPr fontId="1" type="noConversion"/>
  </si>
  <si>
    <t>ООО</t>
    <phoneticPr fontId="1" type="noConversion"/>
  </si>
  <si>
    <t>ПАО УКБ "Новобанк"</t>
    <phoneticPr fontId="1" type="noConversion"/>
  </si>
  <si>
    <t xml:space="preserve">ПАО </t>
  </si>
  <si>
    <t>АО НКБ "СЛАВЯНБАНК"</t>
    <phoneticPr fontId="1" type="noConversion"/>
  </si>
  <si>
    <t>АО</t>
  </si>
  <si>
    <t>АКБ "НЗБанк", ОАО</t>
    <phoneticPr fontId="1" type="noConversion"/>
  </si>
  <si>
    <t>ОАО</t>
  </si>
  <si>
    <t>ЗАО "Промсбербанк"</t>
    <phoneticPr fontId="1" type="noConversion"/>
  </si>
  <si>
    <t>ЗАО</t>
  </si>
  <si>
    <t>Лицензия ФСБ на ГТ</t>
  </si>
  <si>
    <t>Лицензия ФСТЭК</t>
  </si>
  <si>
    <t>161 ФЗ</t>
  </si>
  <si>
    <t>МИР/НСПК</t>
  </si>
  <si>
    <t>СБП</t>
  </si>
  <si>
    <t>АБИСС/СТО БР</t>
  </si>
  <si>
    <t>PCI DSS</t>
  </si>
  <si>
    <t>Рейтинг</t>
  </si>
  <si>
    <t>Дата регистрации Банком России</t>
    <phoneticPr fontId="1" type="noConversion"/>
  </si>
  <si>
    <t>Лицензия ФСБ (Номер лицензии)</t>
    <phoneticPr fontId="1" type="noConversion"/>
  </si>
  <si>
    <t>ООО "Ориджин Банк"</t>
    <phoneticPr fontId="1" type="noConversion"/>
  </si>
  <si>
    <t>ИНН</t>
    <phoneticPr fontId="1" type="noConversion"/>
  </si>
  <si>
    <t>АО "СМБСР Банк"</t>
    <phoneticPr fontId="1" type="noConversion"/>
  </si>
  <si>
    <t>14183/Н</t>
    <phoneticPr fontId="1" type="noConversion"/>
  </si>
  <si>
    <t>27.03.2015</t>
    <phoneticPr fontId="1" type="noConversion"/>
  </si>
  <si>
    <t>12, 13, 20, 21, 22, 23, 24, 25, 28</t>
    <phoneticPr fontId="1" type="noConversion"/>
  </si>
  <si>
    <t xml:space="preserve"> -</t>
    <phoneticPr fontId="1" type="noConversion"/>
  </si>
  <si>
    <t>ООО "Пихта Банк"</t>
    <phoneticPr fontId="1" type="noConversion"/>
  </si>
  <si>
    <t>АО КБ "АГРОПРОМКРЕДИТ"</t>
    <phoneticPr fontId="1" type="noConversion"/>
  </si>
  <si>
    <t>13052/Н</t>
    <phoneticPr fontId="1" type="noConversion"/>
  </si>
  <si>
    <t>30.07.2013</t>
    <phoneticPr fontId="1" type="noConversion"/>
  </si>
  <si>
    <t>12, 13, 14, 20, 21, 22, 23, 24, 25, 28</t>
    <phoneticPr fontId="1" type="noConversion"/>
  </si>
  <si>
    <t>АО АКБ "Алеф-Банк"</t>
    <phoneticPr fontId="1" type="noConversion"/>
  </si>
  <si>
    <t>15519/Н</t>
    <phoneticPr fontId="1" type="noConversion"/>
  </si>
  <si>
    <t>26.10.2016</t>
    <phoneticPr fontId="1" type="noConversion"/>
  </si>
  <si>
    <t>12, 13, 14, 20, 21, 22, 23, 25, 26</t>
    <phoneticPr fontId="1" type="noConversion"/>
  </si>
  <si>
    <t>БАНК "МСКБ" (АО)</t>
    <phoneticPr fontId="1" type="noConversion"/>
  </si>
  <si>
    <t>51/102/Н</t>
    <phoneticPr fontId="1" type="noConversion"/>
  </si>
  <si>
    <t>22.02.2022</t>
    <phoneticPr fontId="1" type="noConversion"/>
  </si>
  <si>
    <t>12, 13, 14, 15, 20, 21, 22, 23, 24, 25, 26, 27, 28</t>
    <phoneticPr fontId="1" type="noConversion"/>
  </si>
  <si>
    <t>593/Н</t>
    <phoneticPr fontId="1" type="noConversion"/>
  </si>
  <si>
    <t>29.08.2014</t>
    <phoneticPr fontId="1" type="noConversion"/>
  </si>
  <si>
    <t>12, 13, 14, 15, 20, 21, 22, 23, 24, 25, 27, 28</t>
    <phoneticPr fontId="1" type="noConversion"/>
  </si>
  <si>
    <t>589/Н</t>
    <phoneticPr fontId="1" type="noConversion"/>
  </si>
  <si>
    <t>08.04.2014</t>
    <phoneticPr fontId="1" type="noConversion"/>
  </si>
  <si>
    <t>2, 3, 7, 8, 9, 10, 11, 12, 13, 14, 15, 17, 18, 20, 21, 22, 23, 24, 25, 26, 27, 28</t>
    <phoneticPr fontId="1" type="noConversion"/>
  </si>
  <si>
    <t>ООО НКО "Мурманский расчетный центр"</t>
    <phoneticPr fontId="1" type="noConversion"/>
  </si>
  <si>
    <t>80/Н</t>
    <phoneticPr fontId="1" type="noConversion"/>
  </si>
  <si>
    <t>07.07.2015</t>
    <phoneticPr fontId="1" type="noConversion"/>
  </si>
  <si>
    <t>15, 20, 21, 22, 23, 24</t>
    <phoneticPr fontId="1" type="noConversion"/>
  </si>
  <si>
    <t>17148/Н</t>
    <phoneticPr fontId="1" type="noConversion"/>
  </si>
  <si>
    <t>25.03.2019</t>
    <phoneticPr fontId="1" type="noConversion"/>
  </si>
  <si>
    <t>Лицензия ФСБ (Виды работ)</t>
    <phoneticPr fontId="1" type="noConversion"/>
  </si>
  <si>
    <t>12, 13, 14, 15, 16, 17, 18, 19, 20, 21, 22, 23, 24, 25, 28</t>
    <phoneticPr fontId="1" type="noConversion"/>
  </si>
  <si>
    <t>Лицензия ФСБ (Дата регистрации)</t>
    <phoneticPr fontId="1" type="noConversion"/>
  </si>
  <si>
    <t>Регистрация РКН (Номер)</t>
    <phoneticPr fontId="1" type="noConversion"/>
  </si>
  <si>
    <t>12-0239318</t>
    <phoneticPr fontId="1" type="noConversion"/>
  </si>
  <si>
    <t>09-0076585</t>
    <phoneticPr fontId="1" type="noConversion"/>
  </si>
  <si>
    <t>12-0249949</t>
    <phoneticPr fontId="1" type="noConversion"/>
  </si>
  <si>
    <t>11-0179739</t>
    <phoneticPr fontId="1" type="noConversion"/>
  </si>
  <si>
    <t>08-0006447</t>
  </si>
  <si>
    <t>10-0087519</t>
  </si>
  <si>
    <t>08-0015012</t>
    <phoneticPr fontId="1" type="noConversion"/>
  </si>
  <si>
    <t>11-0207165</t>
    <phoneticPr fontId="1" type="noConversion"/>
  </si>
  <si>
    <t>08-0002279</t>
    <phoneticPr fontId="1" type="noConversion"/>
  </si>
  <si>
    <t>SWIFT</t>
    <phoneticPr fontId="1" type="noConversion"/>
  </si>
  <si>
    <t xml:space="preserve">	GOLDRUMM</t>
    <phoneticPr fontId="1" type="noConversion"/>
  </si>
  <si>
    <t>SMBCRUMM</t>
    <phoneticPr fontId="1" type="noConversion"/>
  </si>
  <si>
    <t>AGCORUMM</t>
    <phoneticPr fontId="1" type="noConversion"/>
  </si>
  <si>
    <t>ALEFRUMM</t>
    <phoneticPr fontId="1" type="noConversion"/>
  </si>
  <si>
    <t xml:space="preserve">MSCJRU21 </t>
    <phoneticPr fontId="1" type="noConversion"/>
  </si>
  <si>
    <t>SLABRU2V</t>
    <phoneticPr fontId="1" type="noConversion"/>
  </si>
  <si>
    <t>PJTORU22</t>
    <phoneticPr fontId="1" type="noConversion"/>
  </si>
  <si>
    <t>63 ФЗ</t>
    <phoneticPr fontId="1" type="noConversion"/>
  </si>
  <si>
    <t>https://docs.pikhtabank.ru/fbr/documents/pravila_otkry_tiya_i_vedeniya_bankovskix_scetov_29.09.25.pdf?download</t>
    <phoneticPr fontId="1" type="noConversion"/>
  </si>
  <si>
    <t>https://novobank.ru/uslugi-dlya-fiz-lits/pravila.php?sphrase_id=28748</t>
    <phoneticPr fontId="1" type="noConversion"/>
  </si>
  <si>
    <t>https://www.apkbank.ru/common/upload/documents/edbo/EDBO_s_11.09.2025_sayt_stend.pdf</t>
    <phoneticPr fontId="1" type="noConversion"/>
  </si>
  <si>
    <t>https://alefbank.ru/search/?q=%D0%94%D0%91%D0%9E&amp;where=&amp;how=d</t>
    <phoneticPr fontId="1" type="noConversion"/>
  </si>
  <si>
    <t>https://www.bank-mscb.ru/yuridicheskim-litsam/bank-klient/</t>
    <phoneticPr fontId="1" type="noConversion"/>
  </si>
  <si>
    <t>https://ibank.mtcfinance.ru/docs/pravila2024.pdf</t>
    <phoneticPr fontId="1" type="noConversion"/>
  </si>
  <si>
    <t>https://smbcr-bank.ru/file/SMBCR_InternetBank_RU.pdf</t>
    <phoneticPr fontId="1" type="noConversion"/>
  </si>
  <si>
    <t>https://dbo.slaviabank.ru/v36/help/russian/html/ug.useric.addAboutSys.html</t>
    <phoneticPr fontId="1" type="noConversion"/>
  </si>
  <si>
    <t>https://originbank.ru/individuals/distance-banking/rules/</t>
    <phoneticPr fontId="1" type="noConversion"/>
  </si>
  <si>
    <t>https://originbank.ru/about/general_information/</t>
    <phoneticPr fontId="1" type="noConversion"/>
  </si>
  <si>
    <t>https://docs.pikhtabank.ru/fbr/documents/pamyatka_po_deistviyam_klienta_pri_vy_yavlenii_priznakov_osushhestvleniya_platezei_bez_dobrovolnogo_-1.pdf?download</t>
    <phoneticPr fontId="1" type="noConversion"/>
  </si>
  <si>
    <t>https://novobank.ru/news/179?sphrase_id=28749</t>
    <phoneticPr fontId="1" type="noConversion"/>
  </si>
  <si>
    <t>https://slavyanbank.ru/individuals/dbo/rules/</t>
    <phoneticPr fontId="1" type="noConversion"/>
  </si>
  <si>
    <t>https://mrcfin.ru/rules/</t>
    <phoneticPr fontId="1" type="noConversion"/>
  </si>
  <si>
    <t>Да</t>
    <phoneticPr fontId="1" type="noConversion"/>
  </si>
  <si>
    <t>https://novosti-bankov.ru/banki-rossii/smp-bank/3221-040413-smp-bank-poluchil-sertifikat-sootvetstviya-standartu-pci-dss-smp-bank.html</t>
    <phoneticPr fontId="1" type="noConversion"/>
  </si>
  <si>
    <t>https://www.iemag.ru/news/detail.php?ID=25141）</t>
    <phoneticPr fontId="1" type="noConversion"/>
  </si>
  <si>
    <t>https://www.verstov.info/news/economy/25544-bank-agropromkredit-poluchil-sertifikat-sootvetstviya-zaschity-personalnyh-dannyh-standartu-pci-dss</t>
    <phoneticPr fontId="1" type="noConversion"/>
  </si>
  <si>
    <t>https://bosfera.ru/press-release/alfa-bank-proshel-sertifikaciyu-po-novomu-standartu-bezopasnosti-pci-dss</t>
    <phoneticPr fontId="1" type="noConversion"/>
  </si>
  <si>
    <t>ISO 27000</t>
    <phoneticPr fontId="1" type="noConversion"/>
  </si>
  <si>
    <t>Ранг</t>
    <phoneticPr fontId="1" type="noConversion"/>
  </si>
  <si>
    <t xml:space="preserve">Регистрационный номер </t>
    <phoneticPr fontId="1" type="noConversion"/>
  </si>
  <si>
    <t>Дата и основание внесения оператора в реестр</t>
    <phoneticPr fontId="1" type="noConversion"/>
  </si>
  <si>
    <t>Наименование оператора</t>
    <phoneticPr fontId="1" type="noConversion"/>
  </si>
  <si>
    <t xml:space="preserve">Юридический адрес </t>
    <phoneticPr fontId="1" type="noConversion"/>
  </si>
  <si>
    <t>Дата регистрации уведомления</t>
    <phoneticPr fontId="1" type="noConversion"/>
  </si>
  <si>
    <t>Субъекты РФ, на территории которых происходит обработка персональных данных</t>
    <phoneticPr fontId="1" type="noConversion"/>
  </si>
  <si>
    <t xml:space="preserve">Используется </t>
    <phoneticPr fontId="1" type="noConversion"/>
  </si>
  <si>
    <t>Наличие шифровальных средств</t>
    <phoneticPr fontId="1" type="noConversion"/>
  </si>
  <si>
    <t>Трансграничная передача</t>
    <phoneticPr fontId="1" type="noConversion"/>
  </si>
  <si>
    <t xml:space="preserve">	Да </t>
    <phoneticPr fontId="1" type="noConversion"/>
  </si>
  <si>
    <t>Сведения о местонахождении БД (страны)</t>
    <phoneticPr fontId="1" type="noConversion"/>
  </si>
  <si>
    <t xml:space="preserve">Россия </t>
    <phoneticPr fontId="1" type="noConversion"/>
  </si>
  <si>
    <t xml:space="preserve">Не используется </t>
    <phoneticPr fontId="1" type="noConversion"/>
  </si>
  <si>
    <t>Используется</t>
    <phoneticPr fontId="1" type="noConversion"/>
  </si>
  <si>
    <t xml:space="preserve">Да </t>
    <phoneticPr fontId="1" type="noConversion"/>
  </si>
  <si>
    <t>Нет</t>
    <phoneticPr fontId="1" type="noConversion"/>
  </si>
  <si>
    <t>Описание мер, предусмотренных ст. 18.1 и 19 Закона</t>
    <phoneticPr fontId="1" type="noConversion"/>
  </si>
  <si>
    <t xml:space="preserve">	ОAО КБ «АГРОПРОМКРЕДИТ» принимает необходимые организационные, организационно-технические и технические меры по обеспечению конфиденциальности, контролю за доступом к информации, содержащей персональные данные, а также обеспечение доступности информации только авторизованным пользователям. Определены модели нарушителя и модели угроз. Действующие меры устанавливают правила работы с персональными данными, обеспечивают разграничение и протоколирование доступа к персональным данным, обнаружение фактов несанкционированного использования информации, восстановление персональных данных, модифицированных или уничтоженных вследствие несанкционированного доступа к ним, а также осуществление внутреннего контроля и оценки соответствия, применяемых мер по обеспечению безопасности персональных данных и уровня защищенности информационных систем. Системы защиты информационных систем персональных данных реализованы на основании частных технических заданий. Осуществляется учет машинных носителей персональных данных. Приказом по Банку назначено лицо ответственное за организацию обработки персональных данных в Банке. С сотрудниками Банка, осуществляющими обработку персональных данных, проводятся занятия по ознакомлению с нормативными актами и требованиями законодательства РФ в области персональных данных. Действует план обучения и тестирования персонала на знания нормативной базы и требований внутрибанковских документов по защите информации и персональных данных. Автоматизированная и смешанная обработка персональных данных осуществляется в многопользовательских информационных системах персональных данных специального типа с разграничением прав доступа с подключением к другим информационным системам и сетям общего пользования. Для защиты информации, передаваемой по сетям общего пользования используются сертифицированные средства криптографической защиты информации.</t>
    <phoneticPr fontId="1" type="noConversion"/>
  </si>
  <si>
    <t>Для обеспечения безопасности персональных данных принимаются следующие меры: - назначение приказом ответственного за организацию обработки персональных данных в Банке; - издание внутренних документов, определяющих в Банке политику в отношении обработки персональных данных, в т.ч. устанавливающих процедуры, направленные на предотвращение и выявление нарушений законодательства Российской Федерации, устранение последствий таких нарушений, а также внутренних документов, определяющих оценку вреда, который может быть причинен субъектам персональных данных в случае нарушения законодательства Российской Федерации; - осуществление внутреннего контроля (оценки соответствия) обработки персональных данных Федеральному закону «О персональных данных» и принятым в соответствии с ним нормативным правовым актам, требованиям к защите персональных данных, политике Банка в отношении обработки персональных данных; - ознакомление работников Банка, непосредственно осуществляющих обработку персональных данных, с положениями законодательства Российской Федерации в области персональных данных и внутренних документов Банка, в т ч. с требованиями к защите персональных данных; - обеспечение неограниченного доступа к внутренним документам, определяющим политику в отношении обработки персональных данных и реализуемым требованиям к защите персональных данных; - применение в соответствии с Федеральным законом «О персональных данных» таких основных организационных и технических мер по обеспечению безопасности персональных данных, как определение угроз безопасности персональных данных при их обработке в ИСПДн, установление правил доступа к персональным данным, обрабатываемым в ИСПДн, обнаружение фактов несанкционированного доступа к персональным данным, учет машинных носителей персональных данных, восстановление персональных данных, модифицированных или уничтоженных вследствие несанкционированного доступа к ним, контроль за принимаемыми мерами по обеспечению безопасности персональных данных и уровня защищенности ИСПДн.</t>
    <phoneticPr fontId="1" type="noConversion"/>
  </si>
  <si>
    <t>классификация информационной системы персональных данных. Назначение лица, ответственного за организацию обработки персональных данных. Издание внутренни документов, определяющих политику банка по обработке персональных данных, устанавливающих процедуры, направленные на предотвращение и выявление нарушений законодательства РФ, устранение последствий таких нарушений. Применение правовых, организационных и технических мер по обеспечению безопасности персональных данных. Осуществление внутреннего контроля соответствия требованиям к защите персональных данных.</t>
    <phoneticPr fontId="1" type="noConversion"/>
  </si>
  <si>
    <t>правовое основание обработки персональных данных</t>
    <phoneticPr fontId="1" type="noConversion"/>
  </si>
  <si>
    <t>цель обработки персональных данных</t>
    <phoneticPr fontId="1" type="noConversion"/>
  </si>
  <si>
    <t>ФИО физического лица или наименование юридического лица, ответственных за организацию обработки персональных данных</t>
    <phoneticPr fontId="1" type="noConversion"/>
  </si>
  <si>
    <t>номера их контактных телефонов, почтовые адреса и адреса электронной почты</t>
    <phoneticPr fontId="1" type="noConversion"/>
  </si>
  <si>
    <t>Дата начала обработки персональных данных</t>
    <phoneticPr fontId="1" type="noConversion"/>
  </si>
  <si>
    <t>Срок или условие прекращения обработки персональных данных</t>
    <phoneticPr fontId="1" type="noConversion"/>
  </si>
  <si>
    <t>Дата и основание внесения записи в реестр</t>
    <phoneticPr fontId="1" type="noConversion"/>
  </si>
  <si>
    <t>Приказ № 142 от 04.03.2011</t>
    <phoneticPr fontId="1" type="noConversion"/>
  </si>
  <si>
    <t>АКЦИОНЕРНОЕ ОБЩЕСТВО КОММЕРЧЕСКИЙ БАНК «АГРОПРОМКРЕДИТ»</t>
    <phoneticPr fontId="1" type="noConversion"/>
  </si>
  <si>
    <t>140083, Московская обл., г. Лыткарино, кв-л 5 мкр 2-й, д. 13</t>
    <phoneticPr fontId="1" type="noConversion"/>
  </si>
  <si>
    <t>17.02.2011</t>
    <phoneticPr fontId="1" type="noConversion"/>
  </si>
  <si>
    <t>08-0006447</t>
    <phoneticPr fontId="1" type="noConversion"/>
  </si>
  <si>
    <t>Приказ № 408 от 07.06.2008</t>
    <phoneticPr fontId="1" type="noConversion"/>
  </si>
  <si>
    <t>Акционерное общество "Акционерный коммерческий банк "АЛЕФ-БАНК"</t>
    <phoneticPr fontId="1" type="noConversion"/>
  </si>
  <si>
    <t xml:space="preserve">121467, Москва г., ул. Молдавская, дом 5 </t>
    <phoneticPr fontId="1" type="noConversion"/>
  </si>
  <si>
    <t>17.03.2008</t>
    <phoneticPr fontId="1" type="noConversion"/>
  </si>
  <si>
    <t>Приказ № 308 от 29.04.2008</t>
    <phoneticPr fontId="1" type="noConversion"/>
  </si>
  <si>
    <t>Публичное акционерное общество Новгородский Универсальный коммерческий банк "Новобанк"</t>
    <phoneticPr fontId="1" type="noConversion"/>
  </si>
  <si>
    <t xml:space="preserve">наб. реки Гзень, д. 11, г. Великий Новгород, 173003 </t>
    <phoneticPr fontId="1" type="noConversion"/>
  </si>
  <si>
    <t>28.12.2007</t>
    <phoneticPr fontId="1" type="noConversion"/>
  </si>
  <si>
    <t>Новгородская область</t>
    <phoneticPr fontId="1" type="noConversion"/>
  </si>
  <si>
    <t>Курганская область; Липецкая область; Москва; Пермский край</t>
    <phoneticPr fontId="1" type="noConversion"/>
  </si>
  <si>
    <t>Алтайский край; Кемеровская область; Курская область; Москва; Московская область; Нижегородская область; Оренбургская область; Пермский край; Приморский край; Санкт-Петербург; Саратовская область; Свердловская область; Тюменская область; Ханты-Мансийский автономный округ - Югра; Челябинская область</t>
    <phoneticPr fontId="1" type="noConversion"/>
  </si>
  <si>
    <t>Количество информационных систем</t>
    <phoneticPr fontId="1" type="noConversion"/>
  </si>
  <si>
    <t>Итоговый ранг</t>
    <phoneticPr fontId="1" type="noConversion"/>
  </si>
  <si>
    <t>Руководствуясь: ст. 23, 24 Конституции Российской Федерации; ст.ст. 5,6,7,18,18.1,19,20,21,22, 22.1 Федерального закона от 27 июля 2006 года № 152 ФЗ «О персональных данных», Гражданским кодексом Российской Федерации, Налоговым кодексом Российской Федерации, ст.ст.86-90 Трудового Кодекса Российской Федерации, ст.ст. 4 (п.5), ст.18 (п.16), 56-58 Федерального закона от 10 июля 2002 года № 86-ФЗ «О Центральном банке Российской Федерации (Банке России); ст.ст. 5,6 Федерального закона от 02 декабря 1990 года № 395-1 «О банках и банковской деятельности», ст.5 Федерального закона от 30 декабря 2004 года № 218 «О кредитных историях»; ст.7 Федерального Закона от 7 августа 2001 года № 115 ФЗ «О противодействии легализации (отмыванию) доходов, полученных преступным путем, и финансированию терроризма»; Постановлением Правительства РФ от 15 сентября 2008 года № 687; Постановлением Правительства Российской Федерации от 01 ноября 2012 года № 1119 «Об утверждении требований к защите персональных данных при их обработке в информационных системах персональных данных»; Стандартом Банка России СТО БР ИББС; Уставом ОAО КБ «АГРОПРОМКРЕДИТ», утвержденным общим собранием акционеров 10.02.2010 со всеми изменениями и дополнениями, Генеральной Лицензией № 2880 на осуществление банковских операций, выданной Центральным банком Российской Федерации от 14.08.2009, Лицензией ФСФР России № 150-10075-000100 от 29 марта 2007 года профессионального участника рынка ценных бумаг на осуществление депозитарной деятельности, Лицензией ФСФР России № 150-08816-001000 от 20 декабря 2005 года профессионального участника рынка ценных бумаг на осуществление деятельности по управлению ценными бумагами, Лицензией ФСФР России № 150-08812-100000 от 20 декабря 2005 года профессионального участника рынка ценных бумаг на осуществление брокерской деятельности, Лицензией ФСФР России № 150-08814-010000 от 20 декабря 2005 года профессионального участника рынка ценных бумаг на осуществление дилерской деятельности.</t>
    <phoneticPr fontId="1" type="noConversion"/>
  </si>
  <si>
    <t>обработка персональных данных осуществляется с согласия субъекта персональных данных на обработку его персональных данных,обработка персональных данных необходима для исполнения судебного акта, акта другого органа или должностного лица, подлежащих исполнению в соответствии с законодательством Российской Федерации об исполнительном производстве,обработка персональных данных необходима для исполнения договора, стороной которого либо выгодоприобретателем или поручителем по которому является субъект персональных данных, а также для заключения договора по инициативе субъекта персональных данных или договора, по которому субъект персональных данных будет являться выгодоприобретателем или поручителем. Заключаемый с субъектом персональных данных договор не может содержать положения, ограничивающие права и свободы субъекта персональных данных, устанавливающие случаи обработки персональных данных несовершеннолетних, если иное не предусмотрено законодательством Российской Федерации, а также положения, допускающие в качестве условия заключения договора бездействие субъекта персональных данных,обработка персональных данных необходима для осуществления прав и законных интересов оператора или третьих лиц, в том числе в случаях, предусмотренных Федеральным законом "О защите прав и законных интересов физических лиц при осуществлении деятельности по возврату просроченной задолженности и о внесении изменений в Федеральный закон "О микрофинансовой деятельности и микрофинансовых организациях", либо для достижения общественно значимых целей при условии, что при этом не нарушаются права и свободы субъекта персональных данных;</t>
    <phoneticPr fontId="1" type="noConversion"/>
  </si>
  <si>
    <t>обработка персональных данных осуществляется с согласия субъекта персональных данных на обработку его персональных данных,обработка персональных данных необходима для исполнения судебного акта, акта другого органа или должностного лица, подлежащих исполнению в соответствии с законодательством Российской Федерации об исполнительном производстве;</t>
    <phoneticPr fontId="1" type="noConversion"/>
  </si>
  <si>
    <t>заключение Банком кредитных договоров, договоров кредитного характера,</t>
    <phoneticPr fontId="1" type="noConversion"/>
  </si>
  <si>
    <t>Подготовка, заключение и исполнение гражданско-правового договора</t>
    <phoneticPr fontId="1" type="noConversion"/>
  </si>
  <si>
    <t>С целью: осуществления банковских операций и иных видов деятельности, предусмотренных Уставом ОAО КБ «АГРОПРОМКРЕДИТ», ведения кадрового делопроизводства; пользовании различного вида льготами в соответствии с законодательством Российской Федерации; обеспечения личной безопасности работников и клиентов; сохранности имущества Банка; продвижения товаров, работ и услуг Банка и его партнеров на рынке путем осуществления прямых контактов с физическими лицами с помощью средств связи; исполнения и прекращения гражданско-правовых договоров с физическими и юридическими лицами.</t>
    <phoneticPr fontId="1" type="noConversion"/>
  </si>
  <si>
    <t>Иванова Светлана Степановна</t>
    <phoneticPr fontId="1" type="noConversion"/>
  </si>
  <si>
    <t>8(495)7392005, г. Москва, ул. Электрозаводская, д. 27, стр. 5 , info@apkbank.ru</t>
    <phoneticPr fontId="1" type="noConversion"/>
  </si>
  <si>
    <t>09.06.1994</t>
    <phoneticPr fontId="1" type="noConversion"/>
  </si>
  <si>
    <t>Ликвидация или реорганизация КОММЕРЧЕСКОГО БАНКА «АГРОПРОМКРЕДИТ» (Открытое акционерное общество) как юридического лица.</t>
    <phoneticPr fontId="1" type="noConversion"/>
  </si>
  <si>
    <t>Приказ № 82 от 17.05.2019</t>
    <phoneticPr fontId="1" type="noConversion"/>
  </si>
  <si>
    <t>Васильева Наталья Вячеславовна</t>
    <phoneticPr fontId="1" type="noConversion"/>
  </si>
  <si>
    <t>88162501101(177)
173003, Великий Новгород г., наб. реки Гзень, д.11
yurist@novobank.ru</t>
    <phoneticPr fontId="1" type="noConversion"/>
  </si>
  <si>
    <t>24.01.1991</t>
    <phoneticPr fontId="1" type="noConversion"/>
  </si>
  <si>
    <t>ликвидация банка</t>
    <phoneticPr fontId="1" type="noConversion"/>
  </si>
  <si>
    <t>Приказ № 90 от 14.03.2023</t>
    <phoneticPr fontId="1" type="noConversion"/>
  </si>
  <si>
    <t>Макий Татьяна Михайловна</t>
    <phoneticPr fontId="1" type="noConversion"/>
  </si>
  <si>
    <t>16.10.1992</t>
    <phoneticPr fontId="1" type="noConversion"/>
  </si>
  <si>
    <t>Приказ № 326 от 13.10.2023</t>
    <phoneticPr fontId="1" type="noConversion"/>
  </si>
  <si>
    <t>по достижении целей обработки или при утрате необходимости в их достижении; по требованию субъекта ПДн или Уполномоченного органа по защите прав субъектов ПДн — если ПДн являются неполными, устаревшими, недостоверными, незаконно полученными или не являются необходимыми для заявленной цели обработки; при отзыве субъектом ПДн Согласия на обработку персональных данных,в том числе разрешенных субъектом для распространения; при невозможности устранения Банком допущенных нарушений при обработке ПДн.</t>
    <phoneticPr fontId="1" type="noConversion"/>
  </si>
  <si>
    <t>7(495)4117747, доб.3909, 121467 г.Москва, ул.Молдавская, д.5</t>
    <phoneticPr fontId="1" type="noConversion"/>
  </si>
  <si>
    <t>Обозначение частного показателя ИБ</t>
  </si>
  <si>
    <t>Частный показатель ИБ</t>
  </si>
  <si>
    <t>Категория проверки частного показателя</t>
  </si>
  <si>
    <t>Оценка частного показателя ИБ</t>
  </si>
  <si>
    <t>н/о</t>
  </si>
  <si>
    <t>Обязательность выполнения</t>
    <phoneticPr fontId="1" type="noConversion"/>
  </si>
  <si>
    <t>M1.1</t>
    <phoneticPr fontId="1" type="noConversion"/>
  </si>
  <si>
    <t>M1.2</t>
  </si>
  <si>
    <t>M1.3</t>
  </si>
  <si>
    <t>M1.4</t>
  </si>
  <si>
    <t>M1.5</t>
  </si>
  <si>
    <t>M1.7</t>
  </si>
  <si>
    <t>M1.9</t>
  </si>
  <si>
    <t>M1.10</t>
  </si>
  <si>
    <t>M1.11</t>
  </si>
  <si>
    <t>M1.12</t>
  </si>
  <si>
    <t>M1.13</t>
  </si>
  <si>
    <t>M1.14</t>
  </si>
  <si>
    <t>M1.15</t>
  </si>
  <si>
    <t>M1.16</t>
  </si>
  <si>
    <t>M1.17</t>
  </si>
  <si>
    <t>M1.18</t>
  </si>
  <si>
    <t>M1.19</t>
  </si>
  <si>
    <t>M1.20</t>
  </si>
  <si>
    <t>M1.21</t>
  </si>
  <si>
    <t>категория 1</t>
  </si>
  <si>
    <t>категория 1</t>
    <phoneticPr fontId="1" type="noConversion"/>
  </si>
  <si>
    <t>категория 2</t>
    <phoneticPr fontId="1" type="noConversion"/>
  </si>
  <si>
    <t>категория 3</t>
    <phoneticPr fontId="1" type="noConversion"/>
  </si>
  <si>
    <t>обязательный</t>
  </si>
  <si>
    <t>обязательный</t>
    <phoneticPr fontId="1" type="noConversion"/>
  </si>
  <si>
    <t>рекомендуемый</t>
    <phoneticPr fontId="1" type="noConversion"/>
  </si>
  <si>
    <t>Выделены ли в организации БС РФ роли ее работников?</t>
    <phoneticPr fontId="1" type="noConversion"/>
  </si>
  <si>
    <t>M1.6</t>
    <phoneticPr fontId="1" type="noConversion"/>
  </si>
  <si>
    <t>M1.8</t>
    <phoneticPr fontId="1" type="noConversion"/>
  </si>
  <si>
    <t>Отсутствуют ли в организации БС РФ роли, совмещающие функции разработки 
и сопровождения АБС/ПО?</t>
    <phoneticPr fontId="1" type="noConversion"/>
  </si>
  <si>
    <t>Отсутствуют ли в организации БС РФ роли, совмещающие функции разработки 
и эксплуатации АБС/ПО?</t>
    <phoneticPr fontId="1" type="noConversion"/>
  </si>
  <si>
    <t>Определены ли в организации БС РФ, выполняются ли и регистрируются ли 
процедуры контроля деятельности работников, обладающих совокупностью 
полномочий, определяемых их ролями, позволяющими получить контроль 
над защищаемым информационным активом организации БС РФ?</t>
    <phoneticPr fontId="1" type="noConversion"/>
  </si>
  <si>
    <t>Определены ли, выполняются ли и регистрируются ли в организации БС РФ 
процедуры приема на работу, влияющую на обеспечение ИБ, включающие:
 — проверку подлинности предоставленных документов, заявляемой квалификации, 
точности и полноты биографических фактов;
 — проверку в части профессиональных навыков и оценку профессиональной 
пригодности?</t>
    <phoneticPr fontId="1" type="noConversion"/>
  </si>
  <si>
    <t>Регламентируются ли положениями, включенными в договоры (соглашения) 
с внешними организациями и клиентами, требования по ИБ?</t>
    <phoneticPr fontId="1" type="noConversion"/>
  </si>
  <si>
    <t xml:space="preserve">Определены ли в трудовых контрактах (соглашениях, договорах) 
и (или) должностных инструкциях обязанности персонала по выполнению 
требований ИБ? </t>
    <phoneticPr fontId="1" type="noConversion"/>
  </si>
  <si>
    <t>Итоговая оценка группового показателя М1</t>
    <phoneticPr fontId="1" type="noConversion"/>
  </si>
  <si>
    <r>
      <t>Групповой</t>
    </r>
    <r>
      <rPr>
        <b/>
        <sz val="18"/>
        <color theme="1"/>
        <rFont val="Times New Roman"/>
        <family val="1"/>
      </rPr>
      <t xml:space="preserve"> </t>
    </r>
    <r>
      <rPr>
        <b/>
        <sz val="18"/>
        <color theme="1"/>
        <rFont val="等线"/>
        <family val="1"/>
        <charset val="134"/>
      </rPr>
      <t>показатель</t>
    </r>
    <r>
      <rPr>
        <b/>
        <sz val="18"/>
        <color theme="1"/>
        <rFont val="Times New Roman"/>
        <family val="1"/>
      </rPr>
      <t xml:space="preserve"> </t>
    </r>
    <r>
      <rPr>
        <b/>
        <sz val="18"/>
        <color theme="1"/>
        <rFont val="等线"/>
        <family val="1"/>
        <charset val="134"/>
      </rPr>
      <t>М</t>
    </r>
    <r>
      <rPr>
        <b/>
        <sz val="18"/>
        <color theme="1"/>
        <rFont val="Times New Roman"/>
        <family val="1"/>
      </rPr>
      <t xml:space="preserve">1 </t>
    </r>
    <r>
      <rPr>
        <b/>
        <sz val="18"/>
        <color theme="1"/>
        <rFont val="等线"/>
        <family val="1"/>
        <charset val="134"/>
      </rPr>
      <t>“Обеспечение</t>
    </r>
    <r>
      <rPr>
        <b/>
        <sz val="18"/>
        <color theme="1"/>
        <rFont val="Times New Roman"/>
        <family val="1"/>
      </rPr>
      <t xml:space="preserve"> </t>
    </r>
    <r>
      <rPr>
        <b/>
        <sz val="18"/>
        <color theme="1"/>
        <rFont val="等线"/>
        <family val="1"/>
        <charset val="134"/>
      </rPr>
      <t>информационной</t>
    </r>
    <r>
      <rPr>
        <b/>
        <sz val="18"/>
        <color theme="1"/>
        <rFont val="Times New Roman"/>
        <family val="1"/>
      </rPr>
      <t xml:space="preserve"> </t>
    </r>
    <r>
      <rPr>
        <b/>
        <sz val="18"/>
        <color theme="1"/>
        <rFont val="等线"/>
        <family val="1"/>
        <charset val="134"/>
      </rPr>
      <t>безопасности</t>
    </r>
    <r>
      <rPr>
        <b/>
        <sz val="18"/>
        <color theme="1"/>
        <rFont val="Times New Roman"/>
        <family val="1"/>
      </rPr>
      <t xml:space="preserve"> 
</t>
    </r>
    <r>
      <rPr>
        <b/>
        <sz val="18"/>
        <color theme="1"/>
        <rFont val="等线"/>
        <family val="1"/>
        <charset val="134"/>
      </rPr>
      <t>при</t>
    </r>
    <r>
      <rPr>
        <b/>
        <sz val="18"/>
        <color theme="1"/>
        <rFont val="Times New Roman"/>
        <family val="1"/>
      </rPr>
      <t xml:space="preserve"> </t>
    </r>
    <r>
      <rPr>
        <b/>
        <sz val="18"/>
        <color theme="1"/>
        <rFont val="等线"/>
        <family val="1"/>
        <charset val="134"/>
      </rPr>
      <t>назначении</t>
    </r>
    <r>
      <rPr>
        <b/>
        <sz val="18"/>
        <color theme="1"/>
        <rFont val="Times New Roman"/>
        <family val="1"/>
      </rPr>
      <t xml:space="preserve"> </t>
    </r>
    <r>
      <rPr>
        <b/>
        <sz val="18"/>
        <color theme="1"/>
        <rFont val="等线"/>
        <family val="1"/>
        <charset val="134"/>
      </rPr>
      <t>и</t>
    </r>
    <r>
      <rPr>
        <b/>
        <sz val="18"/>
        <color theme="1"/>
        <rFont val="Times New Roman"/>
        <family val="1"/>
      </rPr>
      <t xml:space="preserve"> </t>
    </r>
    <r>
      <rPr>
        <b/>
        <sz val="18"/>
        <color theme="1"/>
        <rFont val="等线"/>
        <family val="1"/>
        <charset val="134"/>
      </rPr>
      <t>распределении</t>
    </r>
    <r>
      <rPr>
        <b/>
        <sz val="18"/>
        <color theme="1"/>
        <rFont val="Times New Roman"/>
        <family val="1"/>
      </rPr>
      <t xml:space="preserve"> </t>
    </r>
    <r>
      <rPr>
        <b/>
        <sz val="18"/>
        <color theme="1"/>
        <rFont val="等线"/>
        <family val="1"/>
        <charset val="134"/>
      </rPr>
      <t>ролей</t>
    </r>
    <r>
      <rPr>
        <b/>
        <sz val="18"/>
        <color theme="1"/>
        <rFont val="Times New Roman"/>
        <family val="1"/>
      </rPr>
      <t xml:space="preserve"> </t>
    </r>
    <r>
      <rPr>
        <b/>
        <sz val="18"/>
        <color theme="1"/>
        <rFont val="等线"/>
        <family val="1"/>
        <charset val="134"/>
      </rPr>
      <t>и</t>
    </r>
    <r>
      <rPr>
        <b/>
        <sz val="18"/>
        <color theme="1"/>
        <rFont val="Times New Roman"/>
        <family val="1"/>
      </rPr>
      <t xml:space="preserve"> </t>
    </r>
    <r>
      <rPr>
        <b/>
        <sz val="18"/>
        <color theme="1"/>
        <rFont val="等线"/>
        <family val="1"/>
        <charset val="134"/>
      </rPr>
      <t>обеспечении</t>
    </r>
    <r>
      <rPr>
        <b/>
        <sz val="18"/>
        <color theme="1"/>
        <rFont val="Times New Roman"/>
        <family val="1"/>
      </rPr>
      <t xml:space="preserve"> </t>
    </r>
    <r>
      <rPr>
        <b/>
        <sz val="18"/>
        <color theme="1"/>
        <rFont val="等线"/>
        <family val="1"/>
        <charset val="134"/>
      </rPr>
      <t>доверия</t>
    </r>
    <r>
      <rPr>
        <b/>
        <sz val="18"/>
        <color theme="1"/>
        <rFont val="Times New Roman"/>
        <family val="1"/>
      </rPr>
      <t xml:space="preserve"> </t>
    </r>
    <r>
      <rPr>
        <b/>
        <sz val="18"/>
        <color theme="1"/>
        <rFont val="等线"/>
        <family val="1"/>
        <charset val="134"/>
      </rPr>
      <t>к</t>
    </r>
    <r>
      <rPr>
        <b/>
        <sz val="18"/>
        <color theme="1"/>
        <rFont val="Times New Roman"/>
        <family val="1"/>
      </rPr>
      <t xml:space="preserve"> </t>
    </r>
    <r>
      <rPr>
        <b/>
        <sz val="18"/>
        <color theme="1"/>
        <rFont val="等线"/>
        <family val="1"/>
        <charset val="134"/>
      </rPr>
      <t>персоналу</t>
    </r>
    <phoneticPr fontId="1" type="noConversion"/>
  </si>
  <si>
    <t>×</t>
    <phoneticPr fontId="1" type="noConversion"/>
  </si>
  <si>
    <t>Публичного акционерного общества</t>
    <phoneticPr fontId="1" type="noConversion"/>
  </si>
  <si>
    <t>17.3.3;17.9;6.2.11</t>
    <phoneticPr fontId="1" type="noConversion"/>
  </si>
  <si>
    <t>Зафиксирована ли в должностных инструкциях или в организационно
распорядительных документах организации БС РФ ответственность за выполнение ролей?</t>
    <phoneticPr fontId="1" type="noConversion"/>
  </si>
  <si>
    <t>Персонифицированы ли роли в организации БС РФ с установлением ответственности за их выполнение?</t>
    <phoneticPr fontId="1" type="noConversion"/>
  </si>
  <si>
    <t>Осуществляется ли формирование и назначение ролей работников организации БС РФ с учетом соблюдения принципа предоставления минимальных прав 
и полномочий, необходимых для выполнения служебных обязанностей?</t>
    <phoneticPr fontId="1" type="noConversion"/>
  </si>
  <si>
    <t>Формируются ли роли, связанные с выполнением деятельности по обеспечению ИБ, на основании требований разделов 7 и 8 стандарта СТО БР ИББС-1.0?</t>
    <phoneticPr fontId="1" type="noConversion"/>
  </si>
  <si>
    <t>Отсутствуют ли в организации БС РФ роли, совмещающие функции сопровождения и эксплуатации АБС/ПО?</t>
    <phoneticPr fontId="1" type="noConversion"/>
  </si>
  <si>
    <t>Отсутствуют ли в организации БС РФ роли, совмещающие функции администратора и администратора информационной безопасности?</t>
    <phoneticPr fontId="1" type="noConversion"/>
  </si>
  <si>
    <t>Отсутствуют ли в организации БС РФ роли, совмещающие функции по выполнению операций в АБС и контроля их выполнения?</t>
    <phoneticPr fontId="1" type="noConversion"/>
  </si>
  <si>
    <t>Предусматривают ли указанные в частном показателе M1.12 процедуры фиксацию результатов проводимых проверок?</t>
    <phoneticPr fontId="1" type="noConversion"/>
  </si>
  <si>
    <t xml:space="preserve">Определены ли, выполняются ли и регистрируются, выполняются и регистрируются ли в организации БС РФ процедуры регулярной проверки в части профессиональных навыков и оценки профессиональной пригодности работников? </t>
    <phoneticPr fontId="1" type="noConversion"/>
  </si>
  <si>
    <t xml:space="preserve">Предусматривают ли указанные в частном показателе M1.14 процедуры фиксацию результатов проводимых проверок? </t>
    <phoneticPr fontId="1" type="noConversion"/>
  </si>
  <si>
    <t>Определены ли, выполняются ли и регистрируются ли в организации БС РФ 
процедуры внеплановой проверки работников при выявлении фактов их нештатного поведения, участия в инцидентах ИБ или подозрений в таком поведении 
или участии?</t>
    <phoneticPr fontId="1" type="noConversion"/>
  </si>
  <si>
    <t xml:space="preserve">Предусматривают ли указанные в частном показателе M1.16 процедуры фиксацию результатов проводимых проверок? </t>
    <phoneticPr fontId="1" type="noConversion"/>
  </si>
  <si>
    <t>Обязаны ли все работники организации БС РФ давать письменные обязательства о соблюдении конфиденциальности, приверженности правилам корпоративной 
этики, включая требования по недопущению конфликта интересов?</t>
    <phoneticPr fontId="1" type="noConversion"/>
  </si>
  <si>
    <t>Приравнивается ли невыполнение работниками организации БС РФ требований ИБ к невыполнению должностных обязанностей и приводит ли как минимум 
к дисциплинарной ответственности?</t>
    <phoneticPr fontId="1" type="noConversion"/>
  </si>
  <si>
    <t>12.12;13.2 13.4 17.7;17.8;4.7</t>
    <phoneticPr fontId="1" type="noConversion"/>
  </si>
  <si>
    <t>17.8;17.9;17.10;.17.11</t>
    <phoneticPr fontId="1" type="noConversion"/>
  </si>
  <si>
    <t>17.3.5;17.3.7</t>
    <phoneticPr fontId="1" type="noConversion"/>
  </si>
  <si>
    <t>17.8;17.9</t>
  </si>
  <si>
    <t>17.9;6.2.12</t>
    <phoneticPr fontId="1" type="noConversion"/>
  </si>
  <si>
    <t>4.7;17.7;12.3.37;;9.5</t>
    <phoneticPr fontId="1" type="noConversion"/>
  </si>
  <si>
    <t>4.7;13.3.13;17.8;17.9</t>
    <phoneticPr fontId="1" type="noConversion"/>
  </si>
  <si>
    <t>C:\Users\13114\Downloads\Публичного акционерного общества.pdf</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</si>
</sst>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76" formatCode="000000"/>
  </numFmts>
  <fonts count="13">
    <font>
      <sz val="11"/>
      <color theme="1"/>
      <name val="等线"/>
      <family val="2"/>
      <charset val="134"/>
      <scheme val="minor"/>
    </font>
    <font>
      <sz val="9"/>
      <name val="等线"/>
      <family val="2"/>
      <charset val="134"/>
      <scheme val="minor"/>
    </font>
    <font>
      <b/>
      <sz val="11"/>
      <color rgb="FF2B2E33"/>
      <name val="Arial"/>
      <family val="2"/>
      <charset val="204"/>
    </font>
    <font>
      <b/>
      <sz val="11"/>
      <color theme="1"/>
      <name val="等线"/>
      <family val="2"/>
      <charset val="204"/>
      <scheme val="minor"/>
    </font>
    <font>
      <u/>
      <sz val="11"/>
      <color theme="10"/>
      <name val="等线"/>
      <family val="2"/>
      <charset val="134"/>
      <scheme val="minor"/>
    </font>
    <font>
      <sz val="11"/>
      <color theme="1"/>
      <name val="等线"/>
      <family val="3"/>
      <charset val="134"/>
      <scheme val="minor"/>
    </font>
    <font>
      <sz val="11"/>
      <color rgb="FF000000"/>
      <name val="等线"/>
      <family val="3"/>
      <charset val="134"/>
      <scheme val="minor"/>
    </font>
    <font>
      <sz val="11"/>
      <color theme="1"/>
      <name val="等线"/>
      <family val="2"/>
      <charset val="204"/>
      <scheme val="minor"/>
    </font>
    <font>
      <u/>
      <sz val="11"/>
      <color theme="10"/>
      <name val="等线"/>
      <family val="2"/>
      <charset val="204"/>
      <scheme val="minor"/>
    </font>
    <font>
      <sz val="14"/>
      <color theme="1"/>
      <name val="Times New Roman"/>
      <family val="1"/>
    </font>
    <font>
      <b/>
      <sz val="22"/>
      <color theme="1"/>
      <name val="等线"/>
      <family val="1"/>
      <charset val="134"/>
    </font>
    <font>
      <b/>
      <sz val="18"/>
      <color theme="1"/>
      <name val="等线"/>
      <family val="1"/>
      <charset val="134"/>
    </font>
    <font>
      <b/>
      <sz val="18"/>
      <color theme="1"/>
      <name val="Times New Roman"/>
      <family val="1"/>
    </font>
  </fonts>
  <fills count="10">
    <fill>
      <patternFill patternType="none"/>
    </fill>
    <fill>
      <patternFill patternType="gray125"/>
    </fill>
    <fill>
      <patternFill patternType="solid">
        <fgColor rgb="FFFFCC99"/>
        <bgColor indexed="64"/>
      </patternFill>
    </fill>
    <fill>
      <patternFill patternType="solid">
        <fgColor theme="7" tint="0.59999389629810485"/>
        <bgColor indexed="64"/>
      </patternFill>
    </fill>
    <fill>
      <patternFill patternType="solid">
        <fgColor theme="6" tint="0.59999389629810485"/>
        <bgColor indexed="64"/>
      </patternFill>
    </fill>
    <fill>
      <patternFill patternType="solid">
        <fgColor theme="4" tint="0.59999389629810485"/>
        <bgColor indexed="64"/>
      </patternFill>
    </fill>
    <fill>
      <patternFill patternType="solid">
        <fgColor theme="9" tint="0.59999389629810485"/>
        <bgColor indexed="64"/>
      </patternFill>
    </fill>
    <fill>
      <patternFill patternType="solid">
        <fgColor theme="9" tint="0.79998168889431442"/>
        <bgColor indexed="64"/>
      </patternFill>
    </fill>
    <fill>
      <patternFill patternType="solid">
        <fgColor theme="2"/>
        <bgColor indexed="64"/>
      </patternFill>
    </fill>
    <fill>
      <patternFill patternType="solid">
        <fgColor theme="2" tint="-0.249977111117893"/>
        <bgColor indexed="64"/>
      </patternFill>
    </fill>
  </fills>
  <borders count="7">
    <border>
      <left/>
      <right/>
      <top/>
      <bottom/>
      <diagonal/>
    </border>
    <border>
      <left/>
      <right/>
      <top/>
      <bottom style="medium">
        <color rgb="FFE8E9EB"/>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bottom/>
      <diagonal/>
    </border>
  </borders>
  <cellStyleXfs count="4">
    <xf numFmtId="0" fontId="0" fillId="0" borderId="0">
      <alignment vertical="center"/>
    </xf>
    <xf numFmtId="0" fontId="4" fillId="0" borderId="0" applyNumberFormat="0" applyFill="0" applyBorder="0" applyAlignment="0" applyProtection="0">
      <alignment vertical="center"/>
    </xf>
    <xf numFmtId="0" fontId="7" fillId="0" borderId="0"/>
    <xf numFmtId="0" fontId="8" fillId="0" borderId="0" applyNumberFormat="0" applyFill="0" applyBorder="0" applyAlignment="0" applyProtection="0"/>
  </cellStyleXfs>
  <cellXfs count="58">
    <xf numFmtId="0" fontId="0" fillId="0" borderId="0" xfId="0">
      <alignment vertical="center"/>
    </xf>
    <xf numFmtId="0" fontId="2" fillId="0" borderId="1" xfId="0" applyFont="1" applyBorder="1" applyAlignment="1">
      <alignment horizontal="left" vertical="top" wrapText="1"/>
    </xf>
    <xf numFmtId="0" fontId="0" fillId="0" borderId="0" xfId="0" applyAlignment="1"/>
    <xf numFmtId="0" fontId="0" fillId="2" borderId="0" xfId="0" applyFill="1">
      <alignment vertical="center"/>
    </xf>
    <xf numFmtId="176" fontId="2" fillId="0" borderId="1" xfId="0" applyNumberFormat="1" applyFont="1" applyBorder="1" applyAlignment="1">
      <alignment horizontal="left" vertical="top" wrapText="1"/>
    </xf>
    <xf numFmtId="176" fontId="0" fillId="2" borderId="0" xfId="0" applyNumberFormat="1" applyFill="1">
      <alignment vertical="center"/>
    </xf>
    <xf numFmtId="176" fontId="0" fillId="0" borderId="0" xfId="0" applyNumberFormat="1">
      <alignment vertical="center"/>
    </xf>
    <xf numFmtId="14" fontId="0" fillId="2" borderId="0" xfId="0" applyNumberFormat="1" applyFill="1" applyAlignment="1">
      <alignment horizontal="left" vertical="center"/>
    </xf>
    <xf numFmtId="14" fontId="0" fillId="0" borderId="0" xfId="0" applyNumberFormat="1" applyAlignment="1">
      <alignment horizontal="left" vertical="center"/>
    </xf>
    <xf numFmtId="0" fontId="0" fillId="0" borderId="0" xfId="0" applyAlignment="1">
      <alignment horizontal="left" vertical="center"/>
    </xf>
    <xf numFmtId="176" fontId="0" fillId="0" borderId="0" xfId="0" applyNumberFormat="1" applyAlignment="1">
      <alignment horizontal="left" vertical="center"/>
    </xf>
    <xf numFmtId="0" fontId="0" fillId="0" borderId="0" xfId="0" applyAlignment="1">
      <alignment horizontal="fill" vertical="center"/>
    </xf>
    <xf numFmtId="0" fontId="3" fillId="3" borderId="0" xfId="0" applyFont="1" applyFill="1" applyAlignment="1">
      <alignment horizontal="center" vertical="top" wrapText="1"/>
    </xf>
    <xf numFmtId="0" fontId="0" fillId="4" borderId="0" xfId="0" applyFill="1" applyAlignment="1">
      <alignment horizontal="center" vertical="top"/>
    </xf>
    <xf numFmtId="0" fontId="3" fillId="5" borderId="0" xfId="0" applyFont="1" applyFill="1" applyAlignment="1">
      <alignment horizontal="center" vertical="top" wrapText="1"/>
    </xf>
    <xf numFmtId="0" fontId="3" fillId="5" borderId="0" xfId="0" applyFont="1" applyFill="1" applyAlignment="1">
      <alignment horizontal="center" vertical="top"/>
    </xf>
    <xf numFmtId="0" fontId="3" fillId="6" borderId="0" xfId="0" applyFont="1" applyFill="1" applyAlignment="1">
      <alignment horizontal="center" vertical="top"/>
    </xf>
    <xf numFmtId="0" fontId="3" fillId="6" borderId="0" xfId="0" applyFont="1" applyFill="1" applyAlignment="1">
      <alignment horizontal="center" vertical="top" wrapText="1"/>
    </xf>
    <xf numFmtId="0" fontId="3" fillId="0" borderId="0" xfId="0" applyFont="1" applyAlignment="1">
      <alignment horizontal="center" vertical="top" wrapText="1"/>
    </xf>
    <xf numFmtId="0" fontId="0" fillId="0" borderId="0" xfId="0" applyAlignment="1">
      <alignment horizontal="center" vertical="center"/>
    </xf>
    <xf numFmtId="0" fontId="4" fillId="0" borderId="0" xfId="1" applyAlignment="1">
      <alignment horizontal="left" vertical="center"/>
    </xf>
    <xf numFmtId="0" fontId="4" fillId="0" borderId="0" xfId="1" applyAlignment="1">
      <alignment horizontal="fill" vertical="center"/>
    </xf>
    <xf numFmtId="0" fontId="5" fillId="0" borderId="0" xfId="0" applyFont="1" applyAlignment="1">
      <alignment horizontal="left" vertical="center"/>
    </xf>
    <xf numFmtId="0" fontId="5" fillId="0" borderId="0" xfId="0" applyFont="1" applyAlignment="1">
      <alignment horizontal="center" vertical="center"/>
    </xf>
    <xf numFmtId="0" fontId="6" fillId="0" borderId="0" xfId="0" applyFont="1">
      <alignment vertical="center"/>
    </xf>
    <xf numFmtId="0" fontId="2" fillId="0" borderId="1" xfId="0" applyFont="1" applyBorder="1" applyAlignment="1">
      <alignment horizontal="fill" vertical="top" wrapText="1"/>
    </xf>
    <xf numFmtId="0" fontId="0" fillId="2" borderId="0" xfId="0" applyFill="1" applyAlignment="1">
      <alignment horizontal="fill" vertical="center"/>
    </xf>
    <xf numFmtId="0" fontId="0" fillId="7" borderId="0" xfId="0" applyFill="1" applyAlignment="1">
      <alignment horizontal="left" vertical="center"/>
    </xf>
    <xf numFmtId="176" fontId="0" fillId="7" borderId="0" xfId="0" applyNumberFormat="1" applyFill="1" applyAlignment="1">
      <alignment horizontal="left" vertical="center"/>
    </xf>
    <xf numFmtId="14" fontId="0" fillId="7" borderId="0" xfId="0" applyNumberFormat="1" applyFill="1" applyAlignment="1">
      <alignment horizontal="left" vertical="center"/>
    </xf>
    <xf numFmtId="0" fontId="0" fillId="7" borderId="0" xfId="0" applyFill="1" applyAlignment="1">
      <alignment horizontal="fill" vertical="center"/>
    </xf>
    <xf numFmtId="0" fontId="0" fillId="7" borderId="0" xfId="0" applyFill="1" applyAlignment="1">
      <alignment horizontal="center" vertical="center"/>
    </xf>
    <xf numFmtId="0" fontId="6" fillId="7" borderId="0" xfId="0" applyFont="1" applyFill="1">
      <alignment vertical="center"/>
    </xf>
    <xf numFmtId="0" fontId="5" fillId="7" borderId="0" xfId="0" applyFont="1" applyFill="1" applyAlignment="1">
      <alignment horizontal="left" vertical="center"/>
    </xf>
    <xf numFmtId="0" fontId="4" fillId="7" borderId="0" xfId="1" applyFill="1" applyAlignment="1">
      <alignment horizontal="fill" vertical="center"/>
    </xf>
    <xf numFmtId="0" fontId="4" fillId="7" borderId="0" xfId="1" applyFill="1" applyAlignment="1">
      <alignment horizontal="left" vertical="center"/>
    </xf>
    <xf numFmtId="0" fontId="0" fillId="0" borderId="0" xfId="0" applyAlignment="1">
      <alignment vertical="center" wrapText="1"/>
    </xf>
    <xf numFmtId="0" fontId="0" fillId="7" borderId="0" xfId="0" applyFill="1" applyAlignment="1">
      <alignment vertical="center" wrapText="1"/>
    </xf>
    <xf numFmtId="0" fontId="0" fillId="7" borderId="0" xfId="0" applyFill="1">
      <alignment vertical="center"/>
    </xf>
    <xf numFmtId="0" fontId="0" fillId="7" borderId="0" xfId="0" applyFill="1" applyAlignment="1">
      <alignment horizontal="center" vertical="center" wrapText="1"/>
    </xf>
    <xf numFmtId="0" fontId="0" fillId="0" borderId="0" xfId="0" applyAlignment="1">
      <alignment horizontal="center" vertical="center" wrapText="1"/>
    </xf>
    <xf numFmtId="0" fontId="9" fillId="8" borderId="2" xfId="2" applyFont="1" applyFill="1" applyBorder="1" applyAlignment="1">
      <alignment horizontal="center" vertical="center"/>
    </xf>
    <xf numFmtId="0" fontId="9" fillId="0" borderId="2" xfId="0" applyFont="1" applyBorder="1" applyAlignment="1">
      <alignment horizontal="center" vertical="center"/>
    </xf>
    <xf numFmtId="0" fontId="9" fillId="0" borderId="2" xfId="0" applyFont="1" applyBorder="1" applyAlignment="1">
      <alignment vertical="center" wrapText="1"/>
    </xf>
    <xf numFmtId="0" fontId="9" fillId="0" borderId="2" xfId="2" applyFont="1" applyBorder="1" applyAlignment="1">
      <alignment horizontal="center" vertical="center"/>
    </xf>
    <xf numFmtId="0" fontId="9" fillId="0" borderId="2" xfId="0" applyFont="1" applyBorder="1">
      <alignment vertical="center"/>
    </xf>
    <xf numFmtId="0" fontId="9" fillId="9" borderId="2" xfId="0" applyFont="1" applyFill="1" applyBorder="1">
      <alignment vertical="center"/>
    </xf>
    <xf numFmtId="0" fontId="9" fillId="0" borderId="3" xfId="0" applyFont="1" applyBorder="1" applyAlignment="1">
      <alignment horizontal="center" vertical="center"/>
    </xf>
    <xf numFmtId="0" fontId="9" fillId="0" borderId="4" xfId="0" applyFont="1" applyBorder="1" applyAlignment="1">
      <alignment horizontal="center" vertical="center"/>
    </xf>
    <xf numFmtId="0" fontId="9" fillId="0" borderId="5" xfId="0" applyFont="1" applyBorder="1" applyAlignment="1">
      <alignment horizontal="center" vertical="center"/>
    </xf>
    <xf numFmtId="0" fontId="11" fillId="0" borderId="3" xfId="0" applyFont="1" applyBorder="1" applyAlignment="1">
      <alignment horizontal="center" vertical="center" wrapText="1"/>
    </xf>
    <xf numFmtId="0" fontId="10" fillId="0" borderId="4" xfId="0" applyFont="1" applyBorder="1" applyAlignment="1">
      <alignment horizontal="center" vertical="center" wrapText="1"/>
    </xf>
    <xf numFmtId="0" fontId="10" fillId="0" borderId="5" xfId="0" applyFont="1" applyBorder="1" applyAlignment="1">
      <alignment horizontal="center" vertical="center" wrapText="1"/>
    </xf>
    <xf numFmtId="0" fontId="9" fillId="8" borderId="2" xfId="2" applyFont="1" applyFill="1" applyBorder="1" applyAlignment="1">
      <alignment horizontal="center" vertical="center" wrapText="1"/>
    </xf>
    <xf numFmtId="0" fontId="9" fillId="8" borderId="2" xfId="2" applyFont="1" applyFill="1" applyBorder="1" applyAlignment="1">
      <alignment horizontal="center" vertical="center"/>
    </xf>
    <xf numFmtId="0" fontId="9" fillId="9" borderId="2" xfId="0" applyFont="1" applyFill="1" applyBorder="1" applyAlignment="1">
      <alignment horizontal="center" vertical="center"/>
    </xf>
    <xf numFmtId="0" fontId="0" fillId="0" borderId="6" xfId="0" applyBorder="1" applyAlignment="1">
      <alignment horizontal="center" vertical="center"/>
    </xf>
    <xf numFmtId="0" fontId="4" fillId="0" borderId="0" xfId="1" applyAlignment="1">
      <alignment horizontal="center" vertical="center"/>
    </xf>
  </cellXfs>
  <cellStyles count="4">
    <cellStyle name="常规" xfId="0" builtinId="0"/>
    <cellStyle name="常规 2" xfId="2" xr:uid="{35E9DAF1-EBA7-4DD5-9E21-8A4397DE0281}"/>
    <cellStyle name="超链接" xfId="1" builtinId="8"/>
    <cellStyle name="超链接 2" xfId="3" xr:uid="{603600B2-ECCF-4509-AFED-5D2C9DB43B86}"/>
  </cellStyles>
  <dxfs count="0"/>
  <tableStyles count="0" defaultTableStyle="TableStyleMedium2" defaultPivotStyle="PivotStyleLight16"/>
  <colors>
    <mruColors>
      <color rgb="FFFFCC99"/>
      <color rgb="FFFF9966"/>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2.xml.rels><?xml version="1.0" encoding="UTF-8" standalone="yes"?>
<Relationships xmlns="http://schemas.openxmlformats.org/package/2006/relationships"><Relationship Id="rId8" Type="http://schemas.openxmlformats.org/officeDocument/2006/relationships/hyperlink" Target="https://dbo.slaviabank.ru/v36/help/russian/html/ug.useric.addAboutSys.html" TargetMode="External"/><Relationship Id="rId13" Type="http://schemas.openxmlformats.org/officeDocument/2006/relationships/hyperlink" Target="https://www.apkbank.ru/common/upload/documents/edbo/EDBO_s_11.09.2025_sayt_stend.pdf" TargetMode="External"/><Relationship Id="rId18" Type="http://schemas.openxmlformats.org/officeDocument/2006/relationships/hyperlink" Target="https://mrcfin.ru/rules/" TargetMode="External"/><Relationship Id="rId3" Type="http://schemas.openxmlformats.org/officeDocument/2006/relationships/hyperlink" Target="https://www.apkbank.ru/common/upload/documents/edbo/EDBO_s_11.09.2025_sayt_stend.pdf" TargetMode="External"/><Relationship Id="rId21" Type="http://schemas.openxmlformats.org/officeDocument/2006/relationships/hyperlink" Target="https://www.verstov.info/news/economy/25544-bank-agropromkredit-poluchil-sertifikat-sootvetstviya-zaschity-personalnyh-dannyh-standartu-pci-dss" TargetMode="External"/><Relationship Id="rId7" Type="http://schemas.openxmlformats.org/officeDocument/2006/relationships/hyperlink" Target="https://smbcr-bank.ru/file/SMBCR_InternetBank_RU.pdf" TargetMode="External"/><Relationship Id="rId12" Type="http://schemas.openxmlformats.org/officeDocument/2006/relationships/hyperlink" Target="https://docs.pikhtabank.ru/fbr/documents/pamyatka_po_deistviyam_klienta_pri_vy_yavlenii_priznakov_osushhestvleniya_platezei_bez_dobrovolnogo_-1.pdf?download" TargetMode="External"/><Relationship Id="rId17" Type="http://schemas.openxmlformats.org/officeDocument/2006/relationships/hyperlink" Target="https://slavyanbank.ru/individuals/dbo/rules/" TargetMode="External"/><Relationship Id="rId2" Type="http://schemas.openxmlformats.org/officeDocument/2006/relationships/hyperlink" Target="https://novobank.ru/uslugi-dlya-fiz-lits/pravila.php?sphrase_id=28748" TargetMode="External"/><Relationship Id="rId16" Type="http://schemas.openxmlformats.org/officeDocument/2006/relationships/hyperlink" Target="https://novobank.ru/news/179?sphrase_id=28749" TargetMode="External"/><Relationship Id="rId20" Type="http://schemas.openxmlformats.org/officeDocument/2006/relationships/hyperlink" Target="https://www.iemag.ru/news/detail.php?ID=25141&#65289;" TargetMode="External"/><Relationship Id="rId1" Type="http://schemas.openxmlformats.org/officeDocument/2006/relationships/hyperlink" Target="https://docs.pikhtabank.ru/fbr/documents/pravila_otkry_tiya_i_vedeniya_bankovskix_scetov_29.09.25.pdf?download" TargetMode="External"/><Relationship Id="rId6" Type="http://schemas.openxmlformats.org/officeDocument/2006/relationships/hyperlink" Target="https://ibank.mtcfinance.ru/docs/pravila2024.pdf" TargetMode="External"/><Relationship Id="rId11" Type="http://schemas.openxmlformats.org/officeDocument/2006/relationships/hyperlink" Target="https://smbcr-bank.ru/file/SMBCR_InternetBank_RU.pdf" TargetMode="External"/><Relationship Id="rId5" Type="http://schemas.openxmlformats.org/officeDocument/2006/relationships/hyperlink" Target="https://www.bank-mscb.ru/yuridicheskim-litsam/bank-klient/" TargetMode="External"/><Relationship Id="rId15" Type="http://schemas.openxmlformats.org/officeDocument/2006/relationships/hyperlink" Target="https://www.bank-mscb.ru/yuridicheskim-litsam/bank-klient/" TargetMode="External"/><Relationship Id="rId10" Type="http://schemas.openxmlformats.org/officeDocument/2006/relationships/hyperlink" Target="https://originbank.ru/about/general_information/" TargetMode="External"/><Relationship Id="rId19" Type="http://schemas.openxmlformats.org/officeDocument/2006/relationships/hyperlink" Target="https://novosti-bankov.ru/banki-rossii/smp-bank/3221-040413-smp-bank-poluchil-sertifikat-sootvetstviya-standartu-pci-dss-smp-bank.html" TargetMode="External"/><Relationship Id="rId4" Type="http://schemas.openxmlformats.org/officeDocument/2006/relationships/hyperlink" Target="https://alefbank.ru/search/?q=%D0%94%D0%91%D0%9E&amp;where=&amp;how=d" TargetMode="External"/><Relationship Id="rId9" Type="http://schemas.openxmlformats.org/officeDocument/2006/relationships/hyperlink" Target="https://originbank.ru/individuals/distance-banking/rules/" TargetMode="External"/><Relationship Id="rId14" Type="http://schemas.openxmlformats.org/officeDocument/2006/relationships/hyperlink" Target="https://alefbank.ru/search/?q=%D0%94%D0%91%D0%9E&amp;where=&amp;how=d" TargetMode="External"/><Relationship Id="rId22" Type="http://schemas.openxmlformats.org/officeDocument/2006/relationships/hyperlink" Target="https://bosfera.ru/press-release/alfa-bank-proshel-sertifikaciyu-po-novomu-standartu-bezopasnosti-pci-dss" TargetMode="External"/></Relationships>
</file>

<file path=xl/worksheets/_rels/sheet4.xml.rels><?xml version="1.0" encoding="UTF-8" standalone="yes"?>
<Relationships xmlns="http://schemas.openxmlformats.org/package/2006/relationships"><Relationship Id="rId1" Type="http://schemas.openxmlformats.org/officeDocument/2006/relationships/hyperlink" Target="file:///C:\Users\13114\Downloads\&#1055;&#1091;&#1073;&#1083;&#1080;&#1095;&#1085;&#1086;&#1075;&#1086;%20&#1072;&#1082;&#1094;&#1080;&#1086;&#1085;&#1077;&#1088;&#1085;&#1086;&#1075;&#1086;%20&#1086;&#1073;&#1097;&#1077;&#1089;&#1090;&#1074;&#1072;.pdf"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6FBBE4-B63F-4B84-88AF-48416FD67B60}">
  <dimension ref="A1:J21"/>
  <sheetViews>
    <sheetView zoomScaleNormal="100" workbookViewId="0">
      <selection activeCell="O35" sqref="O35"/>
    </sheetView>
  </sheetViews>
  <sheetFormatPr defaultRowHeight="14.15"/>
  <cols>
    <col min="3" max="3" width="23.7109375" customWidth="1"/>
    <col min="4" max="4" width="30.85546875" style="6" customWidth="1"/>
    <col min="5" max="5" width="35.85546875" customWidth="1"/>
    <col min="6" max="6" width="21.7109375" customWidth="1"/>
    <col min="7" max="7" width="14.35546875" customWidth="1"/>
    <col min="8" max="8" width="14.7109375" customWidth="1"/>
    <col min="9" max="9" width="23.140625" customWidth="1"/>
    <col min="10" max="10" width="20.85546875" customWidth="1"/>
  </cols>
  <sheetData>
    <row r="1" spans="1:10" ht="40" customHeight="1" thickBot="1">
      <c r="A1" s="1" t="s">
        <v>0</v>
      </c>
      <c r="B1" s="1" t="s">
        <v>1</v>
      </c>
      <c r="C1" s="1" t="s">
        <v>2</v>
      </c>
      <c r="D1" s="4" t="s">
        <v>3</v>
      </c>
      <c r="E1" s="1" t="s">
        <v>4</v>
      </c>
      <c r="F1" s="1" t="s">
        <v>5</v>
      </c>
      <c r="G1" s="1" t="s">
        <v>6</v>
      </c>
      <c r="H1" s="1" t="s">
        <v>7</v>
      </c>
      <c r="I1" s="25" t="s">
        <v>8</v>
      </c>
      <c r="J1" s="2"/>
    </row>
    <row r="2" spans="1:10" s="3" customFormat="1" ht="40" customHeight="1">
      <c r="A2" s="3">
        <v>401</v>
      </c>
      <c r="C2" s="3">
        <v>3484</v>
      </c>
      <c r="D2" s="5">
        <v>1085000003582</v>
      </c>
      <c r="E2" s="3" t="s">
        <v>48</v>
      </c>
      <c r="F2" s="3" t="s">
        <v>47</v>
      </c>
      <c r="G2" s="7">
        <v>39597</v>
      </c>
      <c r="H2" s="3" t="s">
        <v>25</v>
      </c>
      <c r="I2" s="26" t="s">
        <v>27</v>
      </c>
    </row>
    <row r="3" spans="1:10" ht="40" customHeight="1">
      <c r="A3">
        <v>402</v>
      </c>
      <c r="C3">
        <v>3490</v>
      </c>
      <c r="D3" s="6">
        <v>1087711000112</v>
      </c>
      <c r="E3" t="s">
        <v>9</v>
      </c>
      <c r="F3" t="s">
        <v>47</v>
      </c>
      <c r="G3" s="8">
        <v>39751</v>
      </c>
      <c r="H3" t="s">
        <v>26</v>
      </c>
      <c r="I3" s="11" t="s">
        <v>28</v>
      </c>
    </row>
    <row r="4" spans="1:10" ht="40" customHeight="1">
      <c r="A4">
        <v>403</v>
      </c>
      <c r="C4">
        <v>3494</v>
      </c>
      <c r="D4" s="6">
        <v>1097711000045</v>
      </c>
      <c r="E4" t="s">
        <v>10</v>
      </c>
      <c r="F4" t="s">
        <v>53</v>
      </c>
      <c r="G4" s="8">
        <v>39910</v>
      </c>
      <c r="H4" t="s">
        <v>26</v>
      </c>
      <c r="I4" s="11" t="s">
        <v>29</v>
      </c>
    </row>
    <row r="5" spans="1:10" ht="40" customHeight="1">
      <c r="A5">
        <v>404</v>
      </c>
      <c r="C5">
        <v>3500</v>
      </c>
      <c r="D5" s="6">
        <v>1107711000044</v>
      </c>
      <c r="E5" t="s">
        <v>11</v>
      </c>
      <c r="F5" t="s">
        <v>47</v>
      </c>
      <c r="G5" s="8">
        <v>40361</v>
      </c>
      <c r="H5" t="s">
        <v>26</v>
      </c>
      <c r="I5" s="11" t="s">
        <v>30</v>
      </c>
    </row>
    <row r="6" spans="1:10" s="3" customFormat="1" ht="40" customHeight="1">
      <c r="A6" s="3">
        <v>405</v>
      </c>
      <c r="C6" s="3">
        <v>3503</v>
      </c>
      <c r="D6" s="5">
        <v>1117711000032</v>
      </c>
      <c r="E6" s="3" t="s">
        <v>12</v>
      </c>
      <c r="F6" s="3" t="s">
        <v>47</v>
      </c>
      <c r="G6" s="7">
        <v>40737</v>
      </c>
      <c r="H6" s="3" t="s">
        <v>25</v>
      </c>
      <c r="I6" s="26" t="s">
        <v>31</v>
      </c>
    </row>
    <row r="7" spans="1:10" s="3" customFormat="1" ht="40" customHeight="1">
      <c r="A7" s="3">
        <v>406</v>
      </c>
      <c r="C7" s="3">
        <v>2944</v>
      </c>
      <c r="D7" s="5">
        <v>1025000003830</v>
      </c>
      <c r="E7" s="3" t="s">
        <v>54</v>
      </c>
      <c r="F7" s="3" t="s">
        <v>55</v>
      </c>
      <c r="G7" s="7">
        <v>34514</v>
      </c>
      <c r="H7" s="3" t="s">
        <v>25</v>
      </c>
      <c r="I7" s="26" t="s">
        <v>32</v>
      </c>
    </row>
    <row r="8" spans="1:10" s="3" customFormat="1" ht="40" customHeight="1">
      <c r="A8" s="3">
        <v>407</v>
      </c>
      <c r="C8" s="3">
        <v>391</v>
      </c>
      <c r="D8" s="5">
        <v>1025000003071</v>
      </c>
      <c r="E8" s="3" t="s">
        <v>13</v>
      </c>
      <c r="F8" s="3" t="s">
        <v>55</v>
      </c>
      <c r="G8" s="7">
        <v>33967</v>
      </c>
      <c r="H8" s="3" t="s">
        <v>25</v>
      </c>
      <c r="I8" s="26" t="s">
        <v>33</v>
      </c>
    </row>
    <row r="9" spans="1:10" s="3" customFormat="1" ht="40" customHeight="1">
      <c r="A9" s="3">
        <v>408</v>
      </c>
      <c r="C9" s="3">
        <v>1043</v>
      </c>
      <c r="D9" s="5">
        <v>1025000000090</v>
      </c>
      <c r="E9" s="3" t="s">
        <v>56</v>
      </c>
      <c r="F9" s="3" t="s">
        <v>57</v>
      </c>
      <c r="G9" s="7">
        <v>33207</v>
      </c>
      <c r="H9" s="3" t="s">
        <v>25</v>
      </c>
      <c r="I9" s="26" t="s">
        <v>34</v>
      </c>
    </row>
    <row r="10" spans="1:10" s="3" customFormat="1" ht="40" customHeight="1">
      <c r="A10" s="3">
        <v>409</v>
      </c>
      <c r="C10" s="3">
        <v>1679</v>
      </c>
      <c r="D10" s="5">
        <v>1037739315965</v>
      </c>
      <c r="E10" s="3" t="s">
        <v>14</v>
      </c>
      <c r="F10" s="3" t="s">
        <v>47</v>
      </c>
      <c r="G10" s="7">
        <v>33597</v>
      </c>
      <c r="H10" s="3" t="s">
        <v>25</v>
      </c>
      <c r="I10" s="26" t="s">
        <v>35</v>
      </c>
    </row>
    <row r="11" spans="1:10" ht="40" customHeight="1">
      <c r="A11">
        <v>410</v>
      </c>
      <c r="C11">
        <v>2880</v>
      </c>
      <c r="D11" s="6">
        <v>1095000004252</v>
      </c>
      <c r="E11" t="s">
        <v>15</v>
      </c>
      <c r="F11" t="s">
        <v>53</v>
      </c>
      <c r="G11" s="8">
        <v>34494</v>
      </c>
      <c r="H11" t="s">
        <v>26</v>
      </c>
      <c r="I11" s="11" t="s">
        <v>36</v>
      </c>
    </row>
    <row r="12" spans="1:10" s="3" customFormat="1" ht="40" customHeight="1">
      <c r="A12" s="3">
        <v>411</v>
      </c>
      <c r="C12" s="3">
        <v>2820</v>
      </c>
      <c r="D12" s="5">
        <v>1027700182366</v>
      </c>
      <c r="E12" s="3" t="s">
        <v>16</v>
      </c>
      <c r="F12" s="3" t="s">
        <v>47</v>
      </c>
      <c r="G12" s="7">
        <v>34464</v>
      </c>
      <c r="H12" s="3" t="s">
        <v>25</v>
      </c>
      <c r="I12" s="26" t="s">
        <v>37</v>
      </c>
    </row>
    <row r="13" spans="1:10" ht="40" customHeight="1">
      <c r="A13">
        <v>412</v>
      </c>
      <c r="C13">
        <v>2119</v>
      </c>
      <c r="D13" s="6">
        <v>1027739176080</v>
      </c>
      <c r="E13" t="s">
        <v>17</v>
      </c>
      <c r="F13" t="s">
        <v>53</v>
      </c>
      <c r="G13" s="8">
        <v>33893</v>
      </c>
      <c r="H13" t="s">
        <v>26</v>
      </c>
      <c r="I13" s="11" t="s">
        <v>38</v>
      </c>
    </row>
    <row r="14" spans="1:10" s="3" customFormat="1" ht="40" customHeight="1">
      <c r="A14" s="3">
        <v>413</v>
      </c>
      <c r="C14" s="3">
        <v>3270</v>
      </c>
      <c r="D14" s="5">
        <v>1027739059710</v>
      </c>
      <c r="E14" s="3" t="s">
        <v>18</v>
      </c>
      <c r="F14" s="3" t="s">
        <v>47</v>
      </c>
      <c r="G14" s="7">
        <v>34964</v>
      </c>
      <c r="H14" s="3" t="s">
        <v>25</v>
      </c>
      <c r="I14" s="26" t="s">
        <v>39</v>
      </c>
    </row>
    <row r="15" spans="1:10" s="3" customFormat="1" ht="40" customHeight="1">
      <c r="A15" s="3">
        <v>414</v>
      </c>
      <c r="C15" s="3">
        <v>2468</v>
      </c>
      <c r="D15" s="5">
        <v>1027700429855</v>
      </c>
      <c r="E15" s="3" t="s">
        <v>19</v>
      </c>
      <c r="F15" s="3" t="s">
        <v>53</v>
      </c>
      <c r="G15" s="7">
        <v>34205</v>
      </c>
      <c r="H15" s="3" t="s">
        <v>25</v>
      </c>
      <c r="I15" s="26" t="s">
        <v>40</v>
      </c>
    </row>
    <row r="16" spans="1:10" s="3" customFormat="1" ht="40" customHeight="1">
      <c r="A16" s="3">
        <v>415</v>
      </c>
      <c r="C16" s="3">
        <v>2992</v>
      </c>
      <c r="D16" s="5">
        <v>1025000006822</v>
      </c>
      <c r="E16" s="3" t="s">
        <v>20</v>
      </c>
      <c r="F16" s="3" t="s">
        <v>47</v>
      </c>
      <c r="G16" s="7">
        <v>34541</v>
      </c>
      <c r="H16" s="3" t="s">
        <v>25</v>
      </c>
      <c r="I16" s="26" t="s">
        <v>41</v>
      </c>
    </row>
    <row r="17" spans="1:9" ht="40" customHeight="1">
      <c r="A17">
        <v>416</v>
      </c>
      <c r="C17">
        <v>2722</v>
      </c>
      <c r="D17" s="6">
        <v>1025100003917</v>
      </c>
      <c r="E17" t="s">
        <v>21</v>
      </c>
      <c r="F17" t="s">
        <v>53</v>
      </c>
      <c r="G17" s="8">
        <v>34390</v>
      </c>
      <c r="H17" t="s">
        <v>26</v>
      </c>
      <c r="I17" s="11" t="s">
        <v>42</v>
      </c>
    </row>
    <row r="18" spans="1:9" ht="40" customHeight="1">
      <c r="A18">
        <v>417</v>
      </c>
      <c r="B18" t="s">
        <v>24</v>
      </c>
      <c r="C18">
        <v>3341</v>
      </c>
      <c r="D18" s="6">
        <v>1035100260579</v>
      </c>
      <c r="E18" t="s">
        <v>22</v>
      </c>
      <c r="F18" t="s">
        <v>47</v>
      </c>
      <c r="G18" s="8">
        <v>36349</v>
      </c>
      <c r="H18" t="s">
        <v>26</v>
      </c>
      <c r="I18" s="11" t="s">
        <v>43</v>
      </c>
    </row>
    <row r="19" spans="1:9" ht="40" customHeight="1">
      <c r="A19">
        <v>418</v>
      </c>
      <c r="C19">
        <v>804</v>
      </c>
      <c r="D19" s="6">
        <v>1025300000175</v>
      </c>
      <c r="E19" t="s">
        <v>52</v>
      </c>
      <c r="F19" t="s">
        <v>53</v>
      </c>
      <c r="G19" s="8">
        <v>33192</v>
      </c>
      <c r="H19" t="s">
        <v>26</v>
      </c>
      <c r="I19" s="11" t="s">
        <v>44</v>
      </c>
    </row>
    <row r="20" spans="1:9" ht="40" customHeight="1">
      <c r="A20">
        <v>419</v>
      </c>
      <c r="C20">
        <v>1352</v>
      </c>
      <c r="D20" s="6">
        <v>1025300002925</v>
      </c>
      <c r="E20" t="s">
        <v>50</v>
      </c>
      <c r="F20" t="s">
        <v>51</v>
      </c>
      <c r="G20" s="8">
        <v>33262</v>
      </c>
      <c r="H20" t="s">
        <v>26</v>
      </c>
      <c r="I20" s="11" t="s">
        <v>45</v>
      </c>
    </row>
    <row r="21" spans="1:9" s="3" customFormat="1" ht="40" customHeight="1">
      <c r="A21" s="3">
        <v>420</v>
      </c>
      <c r="C21" s="3">
        <v>1968</v>
      </c>
      <c r="D21" s="5">
        <v>1025400001637</v>
      </c>
      <c r="E21" s="3" t="s">
        <v>23</v>
      </c>
      <c r="F21" s="3" t="s">
        <v>49</v>
      </c>
      <c r="G21" s="7">
        <v>33799</v>
      </c>
      <c r="H21" s="3" t="s">
        <v>25</v>
      </c>
      <c r="I21" s="26" t="s">
        <v>46</v>
      </c>
    </row>
  </sheetData>
  <phoneticPr fontId="1" type="noConversion"/>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6459B84-7FC9-4F98-9E7A-59079FA5CFBF}">
  <dimension ref="A1:AB12"/>
  <sheetViews>
    <sheetView zoomScale="85" zoomScaleNormal="85" workbookViewId="0">
      <pane xSplit="1" topLeftCell="B1" activePane="topRight" state="frozen"/>
      <selection pane="topRight" activeCell="A10" sqref="A10"/>
    </sheetView>
  </sheetViews>
  <sheetFormatPr defaultColWidth="9.140625" defaultRowHeight="14.15"/>
  <cols>
    <col min="1" max="1" width="34.640625" style="9" customWidth="1"/>
    <col min="2" max="2" width="7.5" style="9" customWidth="1"/>
    <col min="3" max="3" width="9.140625" style="9"/>
    <col min="4" max="4" width="11.640625" style="9" bestFit="1" customWidth="1"/>
    <col min="5" max="5" width="9.140625" style="9"/>
    <col min="6" max="6" width="16.5" style="9" customWidth="1"/>
    <col min="7" max="7" width="9.140625" style="9"/>
    <col min="8" max="8" width="11.85546875" style="9" customWidth="1"/>
    <col min="9" max="9" width="12.2109375" style="9" customWidth="1"/>
    <col min="10" max="10" width="4.640625" style="9" customWidth="1"/>
    <col min="11" max="11" width="11.140625" style="9" customWidth="1"/>
    <col min="12" max="12" width="10.640625" style="9" customWidth="1"/>
    <col min="13" max="13" width="19.7109375" style="9" customWidth="1"/>
    <col min="14" max="14" width="9.140625" style="9"/>
    <col min="15" max="15" width="4.640625" style="9" customWidth="1"/>
    <col min="16" max="16" width="9.140625" style="9"/>
    <col min="17" max="17" width="14.5" style="9" customWidth="1"/>
    <col min="18" max="18" width="14.35546875" style="9" customWidth="1"/>
    <col min="19" max="19" width="4.640625" style="9" customWidth="1"/>
    <col min="20" max="26" width="9.140625" style="9"/>
    <col min="27" max="27" width="4.640625" style="9" customWidth="1"/>
    <col min="28" max="16384" width="9.140625" style="9"/>
  </cols>
  <sheetData>
    <row r="1" spans="1:28" ht="57" thickBot="1">
      <c r="A1" s="1" t="s">
        <v>4</v>
      </c>
      <c r="B1" s="1" t="s">
        <v>0</v>
      </c>
      <c r="C1" s="1" t="s">
        <v>1</v>
      </c>
      <c r="D1" s="1" t="s">
        <v>69</v>
      </c>
      <c r="E1" s="1" t="s">
        <v>2</v>
      </c>
      <c r="F1" s="4" t="s">
        <v>3</v>
      </c>
      <c r="G1" s="1" t="s">
        <v>5</v>
      </c>
      <c r="H1" s="1" t="s">
        <v>66</v>
      </c>
      <c r="I1" s="1" t="s">
        <v>8</v>
      </c>
      <c r="J1" s="13"/>
      <c r="K1" s="12" t="s">
        <v>67</v>
      </c>
      <c r="L1" s="12" t="s">
        <v>102</v>
      </c>
      <c r="M1" s="12" t="s">
        <v>100</v>
      </c>
      <c r="N1" s="12" t="s">
        <v>58</v>
      </c>
      <c r="O1" s="13"/>
      <c r="P1" s="14" t="s">
        <v>59</v>
      </c>
      <c r="Q1" s="14" t="s">
        <v>103</v>
      </c>
      <c r="R1" s="15" t="s">
        <v>113</v>
      </c>
      <c r="S1" s="13"/>
      <c r="T1" s="16" t="s">
        <v>121</v>
      </c>
      <c r="U1" s="17" t="s">
        <v>60</v>
      </c>
      <c r="V1" s="17" t="s">
        <v>61</v>
      </c>
      <c r="W1" s="17" t="s">
        <v>62</v>
      </c>
      <c r="X1" s="17" t="s">
        <v>63</v>
      </c>
      <c r="Y1" s="17" t="s">
        <v>64</v>
      </c>
      <c r="Z1" s="17" t="s">
        <v>141</v>
      </c>
      <c r="AA1" s="13"/>
      <c r="AB1" s="18" t="s">
        <v>65</v>
      </c>
    </row>
    <row r="2" spans="1:28" ht="25" customHeight="1">
      <c r="A2" s="9" t="s">
        <v>68</v>
      </c>
      <c r="B2" s="9">
        <v>402</v>
      </c>
      <c r="D2" s="9">
        <v>7750005387</v>
      </c>
      <c r="E2" s="9">
        <v>3490</v>
      </c>
      <c r="F2" s="10">
        <v>1087711000112</v>
      </c>
      <c r="G2" s="9" t="s">
        <v>47</v>
      </c>
      <c r="H2" s="8">
        <v>39751</v>
      </c>
      <c r="I2" s="11" t="s">
        <v>28</v>
      </c>
      <c r="K2" s="9" t="s">
        <v>74</v>
      </c>
      <c r="L2" s="9" t="s">
        <v>74</v>
      </c>
      <c r="M2" s="9" t="s">
        <v>101</v>
      </c>
      <c r="N2" s="19" t="s">
        <v>74</v>
      </c>
      <c r="P2" s="19" t="s">
        <v>74</v>
      </c>
      <c r="Q2" s="22" t="s">
        <v>104</v>
      </c>
      <c r="R2" s="22" t="s">
        <v>114</v>
      </c>
      <c r="T2" s="21" t="s">
        <v>130</v>
      </c>
      <c r="U2" s="21" t="s">
        <v>131</v>
      </c>
      <c r="V2" s="19" t="s">
        <v>74</v>
      </c>
      <c r="W2" s="19" t="s">
        <v>74</v>
      </c>
      <c r="X2" s="19" t="s">
        <v>74</v>
      </c>
      <c r="Y2" s="19" t="s">
        <v>74</v>
      </c>
      <c r="Z2" s="19" t="s">
        <v>74</v>
      </c>
      <c r="AB2" s="19">
        <v>5</v>
      </c>
    </row>
    <row r="3" spans="1:28" ht="25" customHeight="1">
      <c r="A3" s="9" t="s">
        <v>70</v>
      </c>
      <c r="B3" s="9">
        <v>403</v>
      </c>
      <c r="D3" s="9">
        <v>7750005450</v>
      </c>
      <c r="E3" s="9">
        <v>3494</v>
      </c>
      <c r="F3" s="10">
        <v>1097711000045</v>
      </c>
      <c r="G3" s="9" t="s">
        <v>53</v>
      </c>
      <c r="H3" s="8">
        <v>39910</v>
      </c>
      <c r="I3" s="11" t="s">
        <v>29</v>
      </c>
      <c r="K3" s="9" t="s">
        <v>71</v>
      </c>
      <c r="L3" s="9" t="s">
        <v>72</v>
      </c>
      <c r="M3" s="9" t="s">
        <v>73</v>
      </c>
      <c r="N3" s="19" t="s">
        <v>74</v>
      </c>
      <c r="P3" s="19" t="s">
        <v>74</v>
      </c>
      <c r="Q3" s="22" t="s">
        <v>105</v>
      </c>
      <c r="R3" s="22" t="s">
        <v>115</v>
      </c>
      <c r="T3" s="21" t="s">
        <v>128</v>
      </c>
      <c r="U3" s="21" t="s">
        <v>128</v>
      </c>
      <c r="V3" s="19" t="s">
        <v>74</v>
      </c>
      <c r="W3" s="19" t="s">
        <v>74</v>
      </c>
      <c r="X3" s="19" t="s">
        <v>74</v>
      </c>
      <c r="Y3" s="20" t="s">
        <v>137</v>
      </c>
      <c r="Z3" s="19" t="s">
        <v>74</v>
      </c>
      <c r="AB3" s="19">
        <v>8</v>
      </c>
    </row>
    <row r="4" spans="1:28" ht="25" customHeight="1">
      <c r="A4" s="9" t="s">
        <v>75</v>
      </c>
      <c r="B4" s="9">
        <v>404</v>
      </c>
      <c r="D4" s="9">
        <v>7750005605</v>
      </c>
      <c r="E4" s="9">
        <v>3500</v>
      </c>
      <c r="F4" s="10">
        <v>1107711000044</v>
      </c>
      <c r="G4" s="9" t="s">
        <v>47</v>
      </c>
      <c r="H4" s="8">
        <v>40361</v>
      </c>
      <c r="I4" s="11" t="s">
        <v>30</v>
      </c>
      <c r="K4" s="9" t="s">
        <v>98</v>
      </c>
      <c r="L4" s="9" t="s">
        <v>99</v>
      </c>
      <c r="M4" s="9" t="s">
        <v>101</v>
      </c>
      <c r="N4" s="19" t="s">
        <v>74</v>
      </c>
      <c r="P4" s="19" t="s">
        <v>74</v>
      </c>
      <c r="Q4" s="22" t="s">
        <v>106</v>
      </c>
      <c r="R4" s="23" t="s">
        <v>74</v>
      </c>
      <c r="T4" s="21" t="s">
        <v>122</v>
      </c>
      <c r="U4" s="21" t="s">
        <v>132</v>
      </c>
      <c r="V4" s="19" t="s">
        <v>74</v>
      </c>
      <c r="W4" s="19" t="s">
        <v>74</v>
      </c>
      <c r="X4" s="19" t="s">
        <v>74</v>
      </c>
      <c r="Y4" s="19" t="s">
        <v>74</v>
      </c>
      <c r="Z4" s="19" t="s">
        <v>74</v>
      </c>
      <c r="AB4" s="19">
        <v>5</v>
      </c>
    </row>
    <row r="5" spans="1:28" s="27" customFormat="1" ht="25" customHeight="1">
      <c r="A5" s="27" t="s">
        <v>76</v>
      </c>
      <c r="B5" s="27">
        <v>410</v>
      </c>
      <c r="D5" s="27">
        <v>5026014060</v>
      </c>
      <c r="E5" s="27">
        <v>2880</v>
      </c>
      <c r="F5" s="28">
        <v>1095000004252</v>
      </c>
      <c r="G5" s="27" t="s">
        <v>53</v>
      </c>
      <c r="H5" s="29">
        <v>34494</v>
      </c>
      <c r="I5" s="30" t="s">
        <v>36</v>
      </c>
      <c r="K5" s="27" t="s">
        <v>77</v>
      </c>
      <c r="L5" s="27" t="s">
        <v>78</v>
      </c>
      <c r="M5" s="27" t="s">
        <v>79</v>
      </c>
      <c r="N5" s="31" t="s">
        <v>74</v>
      </c>
      <c r="P5" s="31" t="s">
        <v>74</v>
      </c>
      <c r="Q5" s="33" t="s">
        <v>107</v>
      </c>
      <c r="R5" s="33" t="s">
        <v>116</v>
      </c>
      <c r="T5" s="34" t="s">
        <v>124</v>
      </c>
      <c r="U5" s="34" t="s">
        <v>124</v>
      </c>
      <c r="V5" s="31" t="s">
        <v>136</v>
      </c>
      <c r="W5" s="31" t="s">
        <v>74</v>
      </c>
      <c r="X5" s="31" t="s">
        <v>74</v>
      </c>
      <c r="Y5" s="35" t="s">
        <v>139</v>
      </c>
      <c r="Z5" s="31" t="s">
        <v>74</v>
      </c>
      <c r="AB5" s="31">
        <v>9</v>
      </c>
    </row>
    <row r="6" spans="1:28" s="27" customFormat="1" ht="25" customHeight="1">
      <c r="A6" s="27" t="s">
        <v>80</v>
      </c>
      <c r="B6" s="27">
        <v>412</v>
      </c>
      <c r="D6" s="27">
        <v>7710050376</v>
      </c>
      <c r="E6" s="27">
        <v>2119</v>
      </c>
      <c r="F6" s="28">
        <v>1027739176080</v>
      </c>
      <c r="G6" s="27" t="s">
        <v>53</v>
      </c>
      <c r="H6" s="29">
        <v>33893</v>
      </c>
      <c r="I6" s="30" t="s">
        <v>38</v>
      </c>
      <c r="K6" s="27" t="s">
        <v>81</v>
      </c>
      <c r="L6" s="27" t="s">
        <v>82</v>
      </c>
      <c r="M6" s="27" t="s">
        <v>83</v>
      </c>
      <c r="N6" s="31" t="s">
        <v>74</v>
      </c>
      <c r="P6" s="31" t="s">
        <v>74</v>
      </c>
      <c r="Q6" s="32" t="s">
        <v>108</v>
      </c>
      <c r="R6" s="33" t="s">
        <v>117</v>
      </c>
      <c r="T6" s="34" t="s">
        <v>125</v>
      </c>
      <c r="U6" s="34" t="s">
        <v>125</v>
      </c>
      <c r="V6" s="31" t="s">
        <v>136</v>
      </c>
      <c r="W6" s="31" t="s">
        <v>136</v>
      </c>
      <c r="X6" s="34" t="s">
        <v>138</v>
      </c>
      <c r="Y6" s="35" t="s">
        <v>140</v>
      </c>
      <c r="Z6" s="31" t="s">
        <v>74</v>
      </c>
      <c r="AB6" s="31">
        <v>11</v>
      </c>
    </row>
    <row r="7" spans="1:28" ht="25" customHeight="1">
      <c r="A7" s="9" t="s">
        <v>84</v>
      </c>
      <c r="B7" s="9">
        <v>416</v>
      </c>
      <c r="D7" s="9">
        <v>5190900165</v>
      </c>
      <c r="E7" s="9">
        <v>2722</v>
      </c>
      <c r="F7" s="10">
        <v>1025100003917</v>
      </c>
      <c r="G7" s="9" t="s">
        <v>53</v>
      </c>
      <c r="H7" s="8">
        <v>34390</v>
      </c>
      <c r="I7" s="11" t="s">
        <v>42</v>
      </c>
      <c r="K7" s="9" t="s">
        <v>85</v>
      </c>
      <c r="L7" s="9" t="s">
        <v>86</v>
      </c>
      <c r="M7" s="9" t="s">
        <v>87</v>
      </c>
      <c r="N7" s="19" t="s">
        <v>74</v>
      </c>
      <c r="P7" s="19" t="s">
        <v>74</v>
      </c>
      <c r="Q7" s="24" t="s">
        <v>109</v>
      </c>
      <c r="R7" s="22" t="s">
        <v>118</v>
      </c>
      <c r="T7" s="21" t="s">
        <v>126</v>
      </c>
      <c r="U7" s="21" t="s">
        <v>126</v>
      </c>
      <c r="V7" s="19" t="s">
        <v>74</v>
      </c>
      <c r="W7" s="19" t="s">
        <v>74</v>
      </c>
      <c r="X7" s="19" t="s">
        <v>74</v>
      </c>
      <c r="Y7" s="19" t="s">
        <v>74</v>
      </c>
      <c r="Z7" s="19" t="s">
        <v>74</v>
      </c>
      <c r="AB7" s="19">
        <v>7</v>
      </c>
    </row>
    <row r="8" spans="1:28" ht="25" customHeight="1">
      <c r="A8" s="9" t="s">
        <v>94</v>
      </c>
      <c r="B8" s="9">
        <v>417</v>
      </c>
      <c r="C8" s="11" t="s">
        <v>24</v>
      </c>
      <c r="D8" s="9">
        <v>5190103184</v>
      </c>
      <c r="E8" s="9">
        <v>3341</v>
      </c>
      <c r="F8" s="10">
        <v>1035100260579</v>
      </c>
      <c r="G8" s="9" t="s">
        <v>47</v>
      </c>
      <c r="H8" s="8">
        <v>36349</v>
      </c>
      <c r="I8" s="11" t="s">
        <v>43</v>
      </c>
      <c r="K8" s="9" t="s">
        <v>95</v>
      </c>
      <c r="L8" s="9" t="s">
        <v>96</v>
      </c>
      <c r="M8" s="9" t="s">
        <v>97</v>
      </c>
      <c r="N8" s="19" t="s">
        <v>74</v>
      </c>
      <c r="P8" s="19" t="s">
        <v>74</v>
      </c>
      <c r="Q8" s="22" t="s">
        <v>110</v>
      </c>
      <c r="R8" s="23" t="s">
        <v>74</v>
      </c>
      <c r="T8" s="21" t="s">
        <v>127</v>
      </c>
      <c r="U8" s="21" t="s">
        <v>135</v>
      </c>
      <c r="V8" s="19" t="s">
        <v>74</v>
      </c>
      <c r="W8" s="19" t="s">
        <v>74</v>
      </c>
      <c r="X8" s="19" t="s">
        <v>74</v>
      </c>
      <c r="Y8" s="19" t="s">
        <v>74</v>
      </c>
      <c r="Z8" s="19" t="s">
        <v>74</v>
      </c>
      <c r="AB8" s="19">
        <v>6</v>
      </c>
    </row>
    <row r="9" spans="1:28" ht="25" customHeight="1">
      <c r="A9" s="9" t="s">
        <v>52</v>
      </c>
      <c r="B9" s="9">
        <v>418</v>
      </c>
      <c r="D9" s="9">
        <v>5321068480</v>
      </c>
      <c r="E9" s="9">
        <v>804</v>
      </c>
      <c r="F9" s="10">
        <v>1025300000175</v>
      </c>
      <c r="G9" s="9" t="s">
        <v>53</v>
      </c>
      <c r="H9" s="8">
        <v>33192</v>
      </c>
      <c r="I9" s="11" t="s">
        <v>44</v>
      </c>
      <c r="K9" s="9" t="s">
        <v>88</v>
      </c>
      <c r="L9" s="9" t="s">
        <v>89</v>
      </c>
      <c r="M9" s="9" t="s">
        <v>90</v>
      </c>
      <c r="N9" s="19" t="s">
        <v>74</v>
      </c>
      <c r="P9" s="19" t="s">
        <v>74</v>
      </c>
      <c r="Q9" s="22" t="s">
        <v>111</v>
      </c>
      <c r="R9" s="22" t="s">
        <v>119</v>
      </c>
      <c r="T9" s="21" t="s">
        <v>129</v>
      </c>
      <c r="U9" s="21" t="s">
        <v>134</v>
      </c>
      <c r="V9" s="19" t="s">
        <v>74</v>
      </c>
      <c r="W9" s="19" t="s">
        <v>74</v>
      </c>
      <c r="X9" s="19" t="s">
        <v>74</v>
      </c>
      <c r="Y9" s="19" t="s">
        <v>74</v>
      </c>
      <c r="Z9" s="19" t="s">
        <v>74</v>
      </c>
      <c r="AB9" s="19">
        <v>7</v>
      </c>
    </row>
    <row r="10" spans="1:28" s="27" customFormat="1" ht="25" customHeight="1">
      <c r="A10" s="27" t="s">
        <v>50</v>
      </c>
      <c r="B10" s="27">
        <v>419</v>
      </c>
      <c r="D10" s="27">
        <v>5321029402</v>
      </c>
      <c r="E10" s="27">
        <v>1352</v>
      </c>
      <c r="F10" s="28">
        <v>1025300002925</v>
      </c>
      <c r="G10" s="27" t="s">
        <v>51</v>
      </c>
      <c r="H10" s="29">
        <v>33262</v>
      </c>
      <c r="I10" s="30" t="s">
        <v>45</v>
      </c>
      <c r="K10" s="27" t="s">
        <v>91</v>
      </c>
      <c r="L10" s="27" t="s">
        <v>92</v>
      </c>
      <c r="M10" s="27" t="s">
        <v>93</v>
      </c>
      <c r="N10" s="31" t="s">
        <v>74</v>
      </c>
      <c r="P10" s="31" t="s">
        <v>74</v>
      </c>
      <c r="Q10" s="33" t="s">
        <v>112</v>
      </c>
      <c r="R10" s="33" t="s">
        <v>120</v>
      </c>
      <c r="T10" s="34" t="s">
        <v>123</v>
      </c>
      <c r="U10" s="34" t="s">
        <v>133</v>
      </c>
      <c r="V10" s="31" t="s">
        <v>136</v>
      </c>
      <c r="W10" s="31" t="s">
        <v>136</v>
      </c>
      <c r="X10" s="31" t="s">
        <v>74</v>
      </c>
      <c r="Y10" s="31" t="s">
        <v>74</v>
      </c>
      <c r="Z10" s="31" t="s">
        <v>74</v>
      </c>
      <c r="AB10" s="31">
        <v>9</v>
      </c>
    </row>
    <row r="11" spans="1:28">
      <c r="U11" s="11"/>
    </row>
    <row r="12" spans="1:28">
      <c r="U12" s="11"/>
    </row>
  </sheetData>
  <phoneticPr fontId="1" type="noConversion"/>
  <hyperlinks>
    <hyperlink ref="T4" r:id="rId1" xr:uid="{3E6F164E-011C-418B-B4F3-E541B6A4A013}"/>
    <hyperlink ref="T10" r:id="rId2" xr:uid="{EE56E7A9-3309-4409-8A8E-0799D1BEED6E}"/>
    <hyperlink ref="T5" r:id="rId3" xr:uid="{6BC0F105-3A46-454E-89D8-7BD78D1AE986}"/>
    <hyperlink ref="T6" r:id="rId4" xr:uid="{2A3B0D1A-D434-4453-B795-9A0BD06AD940}"/>
    <hyperlink ref="T7" r:id="rId5" xr:uid="{30990EE3-8883-4E04-9F29-56520EE437E4}"/>
    <hyperlink ref="T8" r:id="rId6" xr:uid="{C2A3649F-E3FC-41B3-9856-651852A83A1B}"/>
    <hyperlink ref="T3" r:id="rId7" xr:uid="{64826BC3-DE54-42D2-8CC4-9EA4DE8E2084}"/>
    <hyperlink ref="T9" r:id="rId8" xr:uid="{B391735D-0504-4384-B498-661F721643EF}"/>
    <hyperlink ref="T2" r:id="rId9" xr:uid="{221C6F8E-E611-45D5-A044-3D4731F95C0B}"/>
    <hyperlink ref="U2" r:id="rId10" xr:uid="{924B501D-4B53-4253-AF9A-F62EEC36A1E4}"/>
    <hyperlink ref="U3" r:id="rId11" xr:uid="{90480656-DB7D-4338-9445-2CB1A7D1DC8F}"/>
    <hyperlink ref="U4" r:id="rId12" xr:uid="{93CE9293-D652-4E19-8DBE-ED30392CA5C5}"/>
    <hyperlink ref="U5" r:id="rId13" xr:uid="{5B3E3BC8-EF76-495B-873C-92DCA6374147}"/>
    <hyperlink ref="U6" r:id="rId14" xr:uid="{5E02BEAE-C5C4-4AB8-8CCA-F1904CA17943}"/>
    <hyperlink ref="U7" r:id="rId15" xr:uid="{B487A56D-3AB7-43D5-9EFB-0C25289BA581}"/>
    <hyperlink ref="U10" r:id="rId16" xr:uid="{084E92DC-1F30-4331-B67B-73BBA9C735B6}"/>
    <hyperlink ref="U9" r:id="rId17" xr:uid="{CCDD50FB-621C-426C-8B6A-54B9C6533577}"/>
    <hyperlink ref="U8" r:id="rId18" xr:uid="{D253C6CF-C9CA-4BA0-91C0-53110D3CCA47}"/>
    <hyperlink ref="Y3" r:id="rId19" xr:uid="{F04BBEA1-8D35-4E33-80DF-5A2F1FA264C0}"/>
    <hyperlink ref="X6" r:id="rId20" xr:uid="{75441811-C155-4E9B-B2A3-1DB176B09DBB}"/>
    <hyperlink ref="Y5" r:id="rId21" xr:uid="{35E516F3-53FE-412A-8EC4-356BD8C15B24}"/>
    <hyperlink ref="Y6" r:id="rId22" xr:uid="{D7C63DF8-F6FE-4D4C-BB16-314099485BC7}"/>
  </hyperlink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22F974F-FE13-4BC0-9B2F-5342E54642CC}">
  <dimension ref="A1:G21"/>
  <sheetViews>
    <sheetView topLeftCell="B5" zoomScale="85" zoomScaleNormal="85" workbookViewId="0">
      <selection activeCell="F1" sqref="F1"/>
    </sheetView>
  </sheetViews>
  <sheetFormatPr defaultRowHeight="14.15"/>
  <cols>
    <col min="1" max="1" width="32.640625" customWidth="1"/>
    <col min="2" max="2" width="65.640625" style="19" customWidth="1"/>
    <col min="3" max="3" width="10.640625" style="19" customWidth="1"/>
    <col min="4" max="4" width="65.640625" style="19" customWidth="1"/>
    <col min="5" max="5" width="10.640625" style="19" customWidth="1"/>
    <col min="6" max="6" width="65.640625" style="19" customWidth="1"/>
    <col min="7" max="7" width="10.640625" style="19" customWidth="1"/>
  </cols>
  <sheetData>
    <row r="1" spans="1:7" ht="40" customHeight="1">
      <c r="B1" s="19" t="s">
        <v>76</v>
      </c>
      <c r="C1" s="19" t="s">
        <v>142</v>
      </c>
      <c r="D1" s="19" t="s">
        <v>80</v>
      </c>
      <c r="E1" s="19" t="s">
        <v>142</v>
      </c>
      <c r="F1" s="19" t="s">
        <v>50</v>
      </c>
      <c r="G1" s="19" t="s">
        <v>142</v>
      </c>
    </row>
    <row r="2" spans="1:7" ht="40" customHeight="1">
      <c r="A2" s="36" t="s">
        <v>143</v>
      </c>
      <c r="B2" s="19" t="s">
        <v>107</v>
      </c>
      <c r="D2" s="19" t="s">
        <v>174</v>
      </c>
      <c r="F2" s="19" t="s">
        <v>112</v>
      </c>
    </row>
    <row r="3" spans="1:7" ht="40" customHeight="1">
      <c r="A3" s="36" t="s">
        <v>144</v>
      </c>
      <c r="B3" s="19" t="s">
        <v>170</v>
      </c>
      <c r="D3" s="19" t="s">
        <v>175</v>
      </c>
      <c r="F3" s="19" t="s">
        <v>179</v>
      </c>
    </row>
    <row r="4" spans="1:7" ht="40" customHeight="1">
      <c r="A4" s="36" t="s">
        <v>145</v>
      </c>
      <c r="B4" s="19" t="s">
        <v>171</v>
      </c>
      <c r="D4" s="19" t="s">
        <v>176</v>
      </c>
      <c r="F4" s="11" t="s">
        <v>180</v>
      </c>
    </row>
    <row r="5" spans="1:7" ht="40" customHeight="1">
      <c r="A5" s="36" t="s">
        <v>69</v>
      </c>
      <c r="B5" s="19">
        <v>5026014060</v>
      </c>
      <c r="D5" s="19">
        <v>7710050376</v>
      </c>
      <c r="F5" s="19">
        <v>5321029402</v>
      </c>
    </row>
    <row r="6" spans="1:7" ht="40" customHeight="1">
      <c r="A6" s="36" t="s">
        <v>146</v>
      </c>
      <c r="B6" s="19" t="s">
        <v>172</v>
      </c>
      <c r="D6" s="19" t="s">
        <v>177</v>
      </c>
      <c r="F6" s="19" t="s">
        <v>181</v>
      </c>
    </row>
    <row r="7" spans="1:7" ht="40" customHeight="1">
      <c r="A7" s="36" t="s">
        <v>147</v>
      </c>
      <c r="B7" s="19" t="s">
        <v>173</v>
      </c>
      <c r="D7" s="19" t="s">
        <v>178</v>
      </c>
      <c r="F7" s="19" t="s">
        <v>182</v>
      </c>
    </row>
    <row r="8" spans="1:7" s="38" customFormat="1" ht="108" customHeight="1">
      <c r="A8" s="37" t="s">
        <v>148</v>
      </c>
      <c r="B8" s="39" t="s">
        <v>185</v>
      </c>
      <c r="C8" s="31">
        <v>1</v>
      </c>
      <c r="D8" s="31" t="s">
        <v>184</v>
      </c>
      <c r="E8" s="31">
        <v>2</v>
      </c>
      <c r="F8" s="31" t="s">
        <v>183</v>
      </c>
      <c r="G8" s="31">
        <v>3</v>
      </c>
    </row>
    <row r="9" spans="1:7" s="38" customFormat="1" ht="40" customHeight="1">
      <c r="A9" s="37" t="s">
        <v>150</v>
      </c>
      <c r="B9" s="31" t="s">
        <v>155</v>
      </c>
      <c r="C9" s="31">
        <v>2</v>
      </c>
      <c r="D9" s="31" t="s">
        <v>149</v>
      </c>
      <c r="E9" s="31">
        <v>1</v>
      </c>
      <c r="F9" s="31" t="s">
        <v>156</v>
      </c>
      <c r="G9" s="31">
        <v>1</v>
      </c>
    </row>
    <row r="10" spans="1:7" ht="40" customHeight="1">
      <c r="A10" s="36" t="s">
        <v>151</v>
      </c>
      <c r="B10" s="19" t="s">
        <v>158</v>
      </c>
      <c r="D10" s="19" t="s">
        <v>152</v>
      </c>
      <c r="F10" s="19" t="s">
        <v>157</v>
      </c>
    </row>
    <row r="11" spans="1:7" ht="40" customHeight="1">
      <c r="A11" s="36" t="s">
        <v>153</v>
      </c>
      <c r="B11" s="19" t="s">
        <v>154</v>
      </c>
      <c r="D11" s="19" t="s">
        <v>154</v>
      </c>
      <c r="F11" s="19" t="s">
        <v>154</v>
      </c>
    </row>
    <row r="12" spans="1:7" s="38" customFormat="1" ht="409.6" customHeight="1">
      <c r="A12" s="37" t="s">
        <v>159</v>
      </c>
      <c r="B12" s="39" t="s">
        <v>160</v>
      </c>
      <c r="C12" s="31">
        <v>2</v>
      </c>
      <c r="D12" s="39" t="s">
        <v>161</v>
      </c>
      <c r="E12" s="31">
        <v>1</v>
      </c>
      <c r="F12" s="39" t="s">
        <v>162</v>
      </c>
      <c r="G12" s="31">
        <v>3</v>
      </c>
    </row>
    <row r="13" spans="1:7" ht="409.6" customHeight="1">
      <c r="A13" s="36" t="s">
        <v>163</v>
      </c>
      <c r="B13" s="40" t="s">
        <v>188</v>
      </c>
      <c r="D13" s="40" t="s">
        <v>190</v>
      </c>
      <c r="F13" s="40" t="s">
        <v>189</v>
      </c>
    </row>
    <row r="14" spans="1:7" s="38" customFormat="1" ht="284.14999999999998" customHeight="1">
      <c r="A14" s="37" t="s">
        <v>164</v>
      </c>
      <c r="B14" s="39" t="s">
        <v>193</v>
      </c>
      <c r="C14" s="31">
        <v>1</v>
      </c>
      <c r="D14" s="39" t="s">
        <v>191</v>
      </c>
      <c r="E14" s="31">
        <v>2</v>
      </c>
      <c r="F14" s="31" t="s">
        <v>192</v>
      </c>
      <c r="G14" s="31">
        <v>3</v>
      </c>
    </row>
    <row r="15" spans="1:7" ht="40" customHeight="1">
      <c r="A15" s="36" t="s">
        <v>165</v>
      </c>
      <c r="B15" s="19" t="s">
        <v>194</v>
      </c>
      <c r="D15" s="19" t="s">
        <v>204</v>
      </c>
      <c r="F15" s="19" t="s">
        <v>199</v>
      </c>
    </row>
    <row r="16" spans="1:7" ht="40" customHeight="1">
      <c r="A16" s="36" t="s">
        <v>166</v>
      </c>
      <c r="B16" s="19" t="s">
        <v>195</v>
      </c>
      <c r="D16" s="19" t="s">
        <v>208</v>
      </c>
      <c r="F16" s="40" t="s">
        <v>200</v>
      </c>
    </row>
    <row r="17" spans="1:7" ht="40" customHeight="1">
      <c r="A17" s="36" t="s">
        <v>167</v>
      </c>
      <c r="B17" s="19" t="s">
        <v>196</v>
      </c>
      <c r="D17" s="19" t="s">
        <v>205</v>
      </c>
      <c r="F17" s="19" t="s">
        <v>201</v>
      </c>
    </row>
    <row r="18" spans="1:7" ht="40" customHeight="1">
      <c r="A18" s="36" t="s">
        <v>168</v>
      </c>
      <c r="B18" s="11" t="s">
        <v>197</v>
      </c>
      <c r="D18" s="11" t="s">
        <v>207</v>
      </c>
      <c r="F18" s="19" t="s">
        <v>202</v>
      </c>
    </row>
    <row r="19" spans="1:7" ht="28.3">
      <c r="A19" s="36" t="s">
        <v>169</v>
      </c>
      <c r="B19" s="19" t="s">
        <v>198</v>
      </c>
      <c r="D19" s="19" t="s">
        <v>206</v>
      </c>
      <c r="F19" s="19" t="s">
        <v>203</v>
      </c>
    </row>
    <row r="20" spans="1:7" s="38" customFormat="1" ht="40" customHeight="1">
      <c r="A20" s="37" t="s">
        <v>186</v>
      </c>
      <c r="B20" s="31">
        <v>1</v>
      </c>
      <c r="C20" s="31">
        <v>1</v>
      </c>
      <c r="D20" s="31">
        <v>1</v>
      </c>
      <c r="E20" s="31">
        <v>1</v>
      </c>
      <c r="F20" s="31">
        <v>1</v>
      </c>
      <c r="G20" s="31">
        <v>1</v>
      </c>
    </row>
    <row r="21" spans="1:7" ht="40" customHeight="1">
      <c r="A21" s="36"/>
      <c r="B21" s="19" t="s">
        <v>187</v>
      </c>
      <c r="C21" s="19">
        <v>7</v>
      </c>
      <c r="D21" s="19" t="s">
        <v>187</v>
      </c>
      <c r="E21" s="19">
        <v>7</v>
      </c>
      <c r="F21" s="19" t="s">
        <v>187</v>
      </c>
      <c r="G21" s="19">
        <v>11</v>
      </c>
    </row>
  </sheetData>
  <phoneticPr fontId="1" type="noConversion"/>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F5DCAB-8DF7-4D99-B4A6-5D9456389E5C}">
  <dimension ref="A1:K25"/>
  <sheetViews>
    <sheetView tabSelected="1" zoomScale="58" zoomScaleNormal="40" workbookViewId="0">
      <selection activeCell="O20" sqref="O20"/>
    </sheetView>
  </sheetViews>
  <sheetFormatPr defaultRowHeight="14.15"/>
  <cols>
    <col min="1" max="1" width="20.640625" customWidth="1"/>
    <col min="2" max="2" width="80.640625" style="36" customWidth="1"/>
    <col min="3" max="3" width="20.640625" style="19" customWidth="1"/>
    <col min="4" max="4" width="20.640625" customWidth="1"/>
    <col min="11" max="11" width="55.78515625" style="19" customWidth="1"/>
  </cols>
  <sheetData>
    <row r="1" spans="1:11" ht="101.25" customHeight="1">
      <c r="A1" s="50" t="s">
        <v>251</v>
      </c>
      <c r="B1" s="51"/>
      <c r="C1" s="51"/>
      <c r="D1" s="51"/>
      <c r="E1" s="51"/>
      <c r="F1" s="51"/>
      <c r="G1" s="51"/>
      <c r="H1" s="51"/>
      <c r="I1" s="51"/>
      <c r="J1" s="52"/>
    </row>
    <row r="2" spans="1:11" ht="18">
      <c r="A2" s="53" t="s">
        <v>209</v>
      </c>
      <c r="B2" s="53" t="s">
        <v>210</v>
      </c>
      <c r="C2" s="53" t="s">
        <v>214</v>
      </c>
      <c r="D2" s="53" t="s">
        <v>211</v>
      </c>
      <c r="E2" s="54" t="s">
        <v>212</v>
      </c>
      <c r="F2" s="54"/>
      <c r="G2" s="54"/>
      <c r="H2" s="54"/>
      <c r="I2" s="54"/>
      <c r="J2" s="54"/>
    </row>
    <row r="3" spans="1:11" ht="39.450000000000003" customHeight="1">
      <c r="A3" s="53"/>
      <c r="B3" s="53"/>
      <c r="C3" s="53"/>
      <c r="D3" s="53"/>
      <c r="E3" s="41">
        <v>0</v>
      </c>
      <c r="F3" s="41">
        <v>0.25</v>
      </c>
      <c r="G3" s="41">
        <v>0.5</v>
      </c>
      <c r="H3" s="41">
        <v>0.75</v>
      </c>
      <c r="I3" s="41">
        <v>1</v>
      </c>
      <c r="J3" s="41" t="s">
        <v>213</v>
      </c>
      <c r="K3" s="19" t="s">
        <v>253</v>
      </c>
    </row>
    <row r="4" spans="1:11" ht="70" customHeight="1">
      <c r="A4" s="42" t="s">
        <v>215</v>
      </c>
      <c r="B4" s="43" t="s">
        <v>241</v>
      </c>
      <c r="C4" s="42" t="s">
        <v>239</v>
      </c>
      <c r="D4" s="44" t="s">
        <v>234</v>
      </c>
      <c r="E4" s="45"/>
      <c r="F4" s="45"/>
      <c r="G4" s="45"/>
      <c r="H4" s="42"/>
      <c r="I4" s="42" t="s">
        <v>252</v>
      </c>
      <c r="J4" s="45"/>
      <c r="K4" s="19">
        <v>17.399999999999999</v>
      </c>
    </row>
    <row r="5" spans="1:11" ht="70" customHeight="1">
      <c r="A5" s="42" t="s">
        <v>216</v>
      </c>
      <c r="B5" s="43" t="s">
        <v>258</v>
      </c>
      <c r="C5" s="42" t="s">
        <v>240</v>
      </c>
      <c r="D5" s="42" t="s">
        <v>235</v>
      </c>
      <c r="E5" s="55"/>
      <c r="F5" s="46"/>
      <c r="G5" s="46"/>
      <c r="H5" s="46"/>
      <c r="I5" s="42" t="s">
        <v>252</v>
      </c>
      <c r="J5" s="45"/>
    </row>
    <row r="6" spans="1:11" ht="70" customHeight="1">
      <c r="A6" s="42" t="s">
        <v>217</v>
      </c>
      <c r="B6" s="43" t="s">
        <v>257</v>
      </c>
      <c r="C6" s="42" t="s">
        <v>238</v>
      </c>
      <c r="D6" s="42" t="s">
        <v>235</v>
      </c>
      <c r="E6" s="45"/>
      <c r="F6" s="45"/>
      <c r="G6" s="42"/>
      <c r="H6" s="45"/>
      <c r="I6" s="42" t="s">
        <v>252</v>
      </c>
      <c r="J6" s="45"/>
      <c r="K6" s="19" t="s">
        <v>254</v>
      </c>
    </row>
    <row r="7" spans="1:11" ht="70" customHeight="1">
      <c r="A7" s="42" t="s">
        <v>218</v>
      </c>
      <c r="B7" s="43" t="s">
        <v>256</v>
      </c>
      <c r="C7" s="42" t="s">
        <v>238</v>
      </c>
      <c r="D7" s="44" t="s">
        <v>236</v>
      </c>
      <c r="E7" s="45"/>
      <c r="F7" s="45"/>
      <c r="G7" s="45"/>
      <c r="H7" s="45"/>
      <c r="I7" s="42" t="s">
        <v>252</v>
      </c>
      <c r="J7" s="45"/>
      <c r="K7" s="56" t="s">
        <v>269</v>
      </c>
    </row>
    <row r="8" spans="1:11" ht="70" customHeight="1">
      <c r="A8" s="42" t="s">
        <v>219</v>
      </c>
      <c r="B8" s="43" t="s">
        <v>255</v>
      </c>
      <c r="C8" s="42" t="s">
        <v>238</v>
      </c>
      <c r="D8" s="42" t="s">
        <v>236</v>
      </c>
      <c r="E8" s="45"/>
      <c r="F8" s="45"/>
      <c r="G8" s="45"/>
      <c r="H8" s="45"/>
      <c r="I8" s="42" t="s">
        <v>252</v>
      </c>
      <c r="J8" s="45"/>
      <c r="K8" s="56"/>
    </row>
    <row r="9" spans="1:11" ht="70" customHeight="1">
      <c r="A9" s="42" t="s">
        <v>242</v>
      </c>
      <c r="B9" s="43" t="s">
        <v>244</v>
      </c>
      <c r="C9" s="42" t="s">
        <v>238</v>
      </c>
      <c r="D9" s="44" t="s">
        <v>234</v>
      </c>
      <c r="E9" s="45"/>
      <c r="F9" s="45"/>
      <c r="G9" s="45"/>
      <c r="H9" s="42" t="s">
        <v>252</v>
      </c>
      <c r="I9" s="42"/>
      <c r="J9" s="45"/>
      <c r="K9" s="56" t="s">
        <v>270</v>
      </c>
    </row>
    <row r="10" spans="1:11" ht="70" customHeight="1">
      <c r="A10" s="42" t="s">
        <v>220</v>
      </c>
      <c r="B10" s="43" t="s">
        <v>245</v>
      </c>
      <c r="C10" s="42" t="s">
        <v>238</v>
      </c>
      <c r="D10" s="44" t="s">
        <v>234</v>
      </c>
      <c r="E10" s="45"/>
      <c r="F10" s="45"/>
      <c r="G10" s="45"/>
      <c r="H10" s="42" t="s">
        <v>252</v>
      </c>
      <c r="I10" s="42"/>
      <c r="J10" s="45"/>
      <c r="K10" s="56"/>
    </row>
    <row r="11" spans="1:11" ht="70" customHeight="1">
      <c r="A11" s="42" t="s">
        <v>243</v>
      </c>
      <c r="B11" s="43" t="s">
        <v>259</v>
      </c>
      <c r="C11" s="42" t="s">
        <v>238</v>
      </c>
      <c r="D11" s="44" t="s">
        <v>234</v>
      </c>
      <c r="E11" s="42"/>
      <c r="F11" s="45"/>
      <c r="G11" s="45"/>
      <c r="H11" s="42" t="s">
        <v>252</v>
      </c>
      <c r="I11" s="45"/>
      <c r="J11" s="45"/>
      <c r="K11" s="56"/>
    </row>
    <row r="12" spans="1:11" ht="70" customHeight="1">
      <c r="A12" s="42" t="s">
        <v>221</v>
      </c>
      <c r="B12" s="43" t="s">
        <v>260</v>
      </c>
      <c r="C12" s="42" t="s">
        <v>238</v>
      </c>
      <c r="D12" s="44" t="s">
        <v>234</v>
      </c>
      <c r="E12" s="45"/>
      <c r="F12" s="45"/>
      <c r="G12" s="45"/>
      <c r="H12" s="42" t="s">
        <v>252</v>
      </c>
      <c r="I12" s="42"/>
      <c r="J12" s="45"/>
      <c r="K12" s="56"/>
    </row>
    <row r="13" spans="1:11" ht="70" customHeight="1">
      <c r="A13" s="42" t="s">
        <v>222</v>
      </c>
      <c r="B13" s="43" t="s">
        <v>261</v>
      </c>
      <c r="C13" s="42" t="s">
        <v>238</v>
      </c>
      <c r="D13" s="44" t="s">
        <v>234</v>
      </c>
      <c r="E13" s="45"/>
      <c r="F13" s="45"/>
      <c r="G13" s="45"/>
      <c r="H13" s="42" t="s">
        <v>252</v>
      </c>
      <c r="I13" s="42"/>
      <c r="J13" s="45"/>
      <c r="K13" s="56"/>
    </row>
    <row r="14" spans="1:11" ht="70" customHeight="1">
      <c r="A14" s="42" t="s">
        <v>223</v>
      </c>
      <c r="B14" s="43" t="s">
        <v>246</v>
      </c>
      <c r="C14" s="42" t="s">
        <v>238</v>
      </c>
      <c r="D14" s="44" t="s">
        <v>234</v>
      </c>
      <c r="E14" s="45"/>
      <c r="F14" s="45"/>
      <c r="G14" s="42" t="s">
        <v>252</v>
      </c>
      <c r="H14" s="42"/>
      <c r="I14" s="45"/>
      <c r="J14" s="45"/>
      <c r="K14" s="19" t="s">
        <v>271</v>
      </c>
    </row>
    <row r="15" spans="1:11" ht="70" customHeight="1">
      <c r="A15" s="42" t="s">
        <v>224</v>
      </c>
      <c r="B15" s="43" t="s">
        <v>247</v>
      </c>
      <c r="C15" s="42" t="s">
        <v>238</v>
      </c>
      <c r="D15" s="44" t="s">
        <v>234</v>
      </c>
      <c r="E15" s="45"/>
      <c r="F15" s="45"/>
      <c r="G15" s="45"/>
      <c r="H15" s="45"/>
      <c r="I15" s="42" t="s">
        <v>252</v>
      </c>
      <c r="J15" s="45"/>
      <c r="K15" s="56"/>
    </row>
    <row r="16" spans="1:11" ht="70" customHeight="1">
      <c r="A16" s="42" t="s">
        <v>225</v>
      </c>
      <c r="B16" s="43" t="s">
        <v>262</v>
      </c>
      <c r="C16" s="42" t="s">
        <v>238</v>
      </c>
      <c r="D16" s="42" t="s">
        <v>235</v>
      </c>
      <c r="E16" s="45"/>
      <c r="F16" s="45"/>
      <c r="G16" s="45"/>
      <c r="H16" s="45"/>
      <c r="I16" s="42" t="s">
        <v>252</v>
      </c>
      <c r="J16" s="45"/>
      <c r="K16" s="56"/>
    </row>
    <row r="17" spans="1:11" ht="70" customHeight="1">
      <c r="A17" s="42" t="s">
        <v>226</v>
      </c>
      <c r="B17" s="43" t="s">
        <v>263</v>
      </c>
      <c r="C17" s="42" t="s">
        <v>240</v>
      </c>
      <c r="D17" s="44" t="s">
        <v>235</v>
      </c>
      <c r="E17" s="55"/>
      <c r="F17" s="46"/>
      <c r="G17" s="46"/>
      <c r="H17" s="46"/>
      <c r="I17" s="42" t="s">
        <v>252</v>
      </c>
      <c r="J17" s="45"/>
    </row>
    <row r="18" spans="1:11" ht="70" customHeight="1">
      <c r="A18" s="42" t="s">
        <v>227</v>
      </c>
      <c r="B18" s="43" t="s">
        <v>264</v>
      </c>
      <c r="C18" s="42" t="s">
        <v>240</v>
      </c>
      <c r="D18" s="44" t="s">
        <v>236</v>
      </c>
      <c r="E18" s="55"/>
      <c r="F18" s="46"/>
      <c r="G18" s="46"/>
      <c r="H18" s="46"/>
      <c r="I18" s="42" t="s">
        <v>252</v>
      </c>
      <c r="J18" s="45"/>
    </row>
    <row r="19" spans="1:11" ht="70" customHeight="1">
      <c r="A19" s="42" t="s">
        <v>228</v>
      </c>
      <c r="B19" s="43" t="s">
        <v>265</v>
      </c>
      <c r="C19" s="42" t="s">
        <v>240</v>
      </c>
      <c r="D19" s="42" t="s">
        <v>234</v>
      </c>
      <c r="E19" s="46"/>
      <c r="F19" s="46"/>
      <c r="G19" s="46"/>
      <c r="H19" s="55"/>
      <c r="I19" s="42" t="s">
        <v>252</v>
      </c>
      <c r="J19" s="42"/>
      <c r="K19" s="56" t="s">
        <v>272</v>
      </c>
    </row>
    <row r="20" spans="1:11" ht="70" customHeight="1">
      <c r="A20" s="42" t="s">
        <v>229</v>
      </c>
      <c r="B20" s="43" t="s">
        <v>266</v>
      </c>
      <c r="C20" s="42" t="s">
        <v>240</v>
      </c>
      <c r="D20" s="42" t="s">
        <v>236</v>
      </c>
      <c r="E20" s="55"/>
      <c r="F20" s="46"/>
      <c r="G20" s="46"/>
      <c r="H20" s="55"/>
      <c r="I20" s="42" t="s">
        <v>252</v>
      </c>
      <c r="J20" s="42"/>
      <c r="K20" s="56"/>
    </row>
    <row r="21" spans="1:11" ht="70" customHeight="1">
      <c r="A21" s="42" t="s">
        <v>230</v>
      </c>
      <c r="B21" s="43" t="s">
        <v>267</v>
      </c>
      <c r="C21" s="42" t="s">
        <v>239</v>
      </c>
      <c r="D21" s="42" t="s">
        <v>237</v>
      </c>
      <c r="E21" s="45"/>
      <c r="F21" s="45"/>
      <c r="G21" s="45"/>
      <c r="H21" s="45"/>
      <c r="I21" s="42" t="s">
        <v>252</v>
      </c>
      <c r="J21" s="45"/>
      <c r="K21" s="19">
        <v>4.7</v>
      </c>
    </row>
    <row r="22" spans="1:11" ht="70" customHeight="1">
      <c r="A22" s="42" t="s">
        <v>231</v>
      </c>
      <c r="B22" s="43" t="s">
        <v>248</v>
      </c>
      <c r="C22" s="42" t="s">
        <v>239</v>
      </c>
      <c r="D22" s="42" t="s">
        <v>236</v>
      </c>
      <c r="E22" s="45"/>
      <c r="F22" s="45"/>
      <c r="G22" s="42"/>
      <c r="H22" s="45"/>
      <c r="I22" s="42" t="s">
        <v>252</v>
      </c>
      <c r="J22" s="45"/>
      <c r="K22" s="19" t="s">
        <v>273</v>
      </c>
    </row>
    <row r="23" spans="1:11" ht="70" customHeight="1">
      <c r="A23" s="42" t="s">
        <v>232</v>
      </c>
      <c r="B23" s="43" t="s">
        <v>249</v>
      </c>
      <c r="C23" s="42" t="s">
        <v>239</v>
      </c>
      <c r="D23" s="42" t="s">
        <v>236</v>
      </c>
      <c r="E23" s="45"/>
      <c r="F23" s="45"/>
      <c r="G23" s="45"/>
      <c r="H23" s="45"/>
      <c r="I23" s="42" t="s">
        <v>252</v>
      </c>
      <c r="J23" s="45"/>
      <c r="K23" s="19" t="s">
        <v>274</v>
      </c>
    </row>
    <row r="24" spans="1:11" ht="70" customHeight="1">
      <c r="A24" s="42" t="s">
        <v>233</v>
      </c>
      <c r="B24" s="43" t="s">
        <v>268</v>
      </c>
      <c r="C24" s="42" t="s">
        <v>239</v>
      </c>
      <c r="D24" s="42" t="s">
        <v>234</v>
      </c>
      <c r="E24" s="45"/>
      <c r="F24" s="45"/>
      <c r="G24" s="45"/>
      <c r="H24" s="45"/>
      <c r="I24" s="42" t="s">
        <v>252</v>
      </c>
      <c r="J24" s="45"/>
      <c r="K24" s="19" t="s">
        <v>275</v>
      </c>
    </row>
    <row r="25" spans="1:11" ht="70" customHeight="1">
      <c r="A25" s="47" t="s">
        <v>250</v>
      </c>
      <c r="B25" s="48"/>
      <c r="C25" s="48"/>
      <c r="D25" s="49"/>
      <c r="E25" s="45"/>
      <c r="F25" s="42"/>
      <c r="G25" s="42">
        <v>1</v>
      </c>
      <c r="H25" s="42">
        <v>5</v>
      </c>
      <c r="I25" s="42">
        <v>15</v>
      </c>
      <c r="J25" s="42">
        <f>(G25*0.5+H25*0.75+I25*1)/21</f>
        <v>0.91666666666666663</v>
      </c>
      <c r="K25" s="57" t="s">
        <v>276</v>
      </c>
    </row>
  </sheetData>
  <mergeCells count="11">
    <mergeCell ref="K7:K8"/>
    <mergeCell ref="K9:K13"/>
    <mergeCell ref="K19:K20"/>
    <mergeCell ref="K15:K16"/>
    <mergeCell ref="A25:D25"/>
    <mergeCell ref="A1:J1"/>
    <mergeCell ref="C2:C3"/>
    <mergeCell ref="D2:D3"/>
    <mergeCell ref="E2:J2"/>
    <mergeCell ref="A2:A3"/>
    <mergeCell ref="B2:B3"/>
  </mergeCells>
  <phoneticPr fontId="1" type="noConversion"/>
  <hyperlinks>
    <hyperlink ref="K25" r:id="rId1" xr:uid="{4CEB7233-8DE2-4391-9C05-C121F086F342}"/>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4</vt:i4>
      </vt:variant>
    </vt:vector>
  </HeadingPairs>
  <TitlesOfParts>
    <vt:vector size="4" baseType="lpstr">
      <vt:lpstr>Необработанные данные</vt:lpstr>
      <vt:lpstr>LAB1</vt:lpstr>
      <vt:lpstr>LAB2</vt:lpstr>
      <vt:lpstr>LAB4</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皓禹 许</dc:creator>
  <cp:lastModifiedBy>皓禹 许</cp:lastModifiedBy>
  <dcterms:created xsi:type="dcterms:W3CDTF">2025-10-06T15:20:27Z</dcterms:created>
  <dcterms:modified xsi:type="dcterms:W3CDTF">2025-12-01T15:50:00Z</dcterms:modified>
</cp:coreProperties>
</file>